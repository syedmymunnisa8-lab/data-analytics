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5200" windowHeight="11985" activeTab="2"/>
  </bookViews>
  <sheets>
    <sheet name="Transaction" sheetId="1" r:id="rId1"/>
    <sheet name="Sheet3" sheetId="3" r:id="rId2"/>
    <sheet name="Sheet6" sheetId="6" r:id="rId3"/>
    <sheet name="Budget" sheetId="2" r:id="rId4"/>
  </sheets>
  <definedNames>
    <definedName name="Slicer_Actual_spent">#N/A</definedName>
    <definedName name="Slicer_Category">#N/A</definedName>
    <definedName name="Slicer_Monthly_budget">#N/A</definedName>
    <definedName name="Slicer_Reamining">#N/A</definedName>
  </definedNames>
  <calcPr calcId="152511"/>
  <pivotCaches>
    <pivotCache cacheId="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 i="1" l="1"/>
  <c r="G4" i="1"/>
  <c r="G5" i="1"/>
  <c r="G6" i="1"/>
  <c r="G7" i="1"/>
  <c r="G8" i="1"/>
  <c r="G9" i="1"/>
  <c r="G10" i="1"/>
  <c r="G11" i="1"/>
  <c r="G12" i="1"/>
  <c r="G13" i="1"/>
  <c r="G2" i="1"/>
  <c r="E3" i="2"/>
  <c r="E4" i="2"/>
  <c r="E5" i="2"/>
  <c r="E6" i="2"/>
  <c r="E7" i="2"/>
  <c r="E8" i="2"/>
  <c r="E9" i="2"/>
  <c r="E10" i="2"/>
  <c r="E11" i="2"/>
  <c r="E12" i="2"/>
  <c r="E13" i="2"/>
  <c r="E2" i="2"/>
  <c r="D3" i="2"/>
  <c r="D4" i="2"/>
  <c r="D5" i="2"/>
  <c r="D6" i="2"/>
  <c r="D7" i="2"/>
  <c r="D8" i="2"/>
  <c r="D9" i="2"/>
  <c r="D10" i="2"/>
  <c r="D11" i="2"/>
  <c r="D12" i="2"/>
  <c r="D13" i="2"/>
  <c r="D2" i="2"/>
</calcChain>
</file>

<file path=xl/sharedStrings.xml><?xml version="1.0" encoding="utf-8"?>
<sst xmlns="http://schemas.openxmlformats.org/spreadsheetml/2006/main" count="132" uniqueCount="42">
  <si>
    <t>Date</t>
  </si>
  <si>
    <t>Rent</t>
  </si>
  <si>
    <t>Food</t>
  </si>
  <si>
    <t>Transport</t>
  </si>
  <si>
    <t>Entertainment</t>
  </si>
  <si>
    <t>Savings</t>
  </si>
  <si>
    <t>Expense</t>
  </si>
  <si>
    <t>Shopping</t>
  </si>
  <si>
    <t>Education</t>
  </si>
  <si>
    <t>Utilities</t>
  </si>
  <si>
    <t>Healthcare</t>
  </si>
  <si>
    <t>Freelance</t>
  </si>
  <si>
    <t>Salary</t>
  </si>
  <si>
    <t>Type</t>
  </si>
  <si>
    <t>Income</t>
  </si>
  <si>
    <t>Description</t>
  </si>
  <si>
    <t>House rent</t>
  </si>
  <si>
    <t>Groceries</t>
  </si>
  <si>
    <t>Taxi</t>
  </si>
  <si>
    <t>Movie night</t>
  </si>
  <si>
    <t>Monthly deposit</t>
  </si>
  <si>
    <t>RD/SIP invester</t>
  </si>
  <si>
    <t>Clothing</t>
  </si>
  <si>
    <t>Online course</t>
  </si>
  <si>
    <t>Electricity bill</t>
  </si>
  <si>
    <t>Medical checkup</t>
  </si>
  <si>
    <t>Freelance project</t>
  </si>
  <si>
    <t>Salary credit</t>
  </si>
  <si>
    <t>Actual Amount</t>
  </si>
  <si>
    <t>Month</t>
  </si>
  <si>
    <t>January</t>
  </si>
  <si>
    <t>Category</t>
  </si>
  <si>
    <t xml:space="preserve">Healthcare </t>
  </si>
  <si>
    <t>Monthly budget</t>
  </si>
  <si>
    <t>Reamining</t>
  </si>
  <si>
    <t>Actual spent</t>
  </si>
  <si>
    <t>Row Labels</t>
  </si>
  <si>
    <t>Grand Total</t>
  </si>
  <si>
    <t>Sum of Monthly budget</t>
  </si>
  <si>
    <t>Sum of Actual spent</t>
  </si>
  <si>
    <t>Sum of Reamining</t>
  </si>
  <si>
    <t>Row Lables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</si>
</sst>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[SHAISTHA.xlsx]Sheet3!PivotTable1</c:name>
    <c:fmtId val="12"/>
  </c:pivotSource>
  <c:chart>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Sheet3!$B$3</c:f>
              <c:strCache>
                <c:ptCount val="1"/>
                <c:pt idx="0">
                  <c:v>Sum of Monthly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Sheet3!$A$4:$A$26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lvl>
              </c:multiLvlStrCache>
            </c:multiLvlStrRef>
          </c:cat>
          <c:val>
            <c:numRef>
              <c:f>Sheet3!$B$4:$B$26</c:f>
              <c:numCache>
                <c:formatCode>General</c:formatCode>
                <c:ptCount val="11"/>
                <c:pt idx="0">
                  <c:v>900</c:v>
                </c:pt>
                <c:pt idx="1">
                  <c:v>150</c:v>
                </c:pt>
                <c:pt idx="2">
                  <c:v>500</c:v>
                </c:pt>
                <c:pt idx="3">
                  <c:v>800</c:v>
                </c:pt>
                <c:pt idx="4">
                  <c:v>650</c:v>
                </c:pt>
                <c:pt idx="5">
                  <c:v>1000</c:v>
                </c:pt>
                <c:pt idx="6">
                  <c:v>30000</c:v>
                </c:pt>
                <c:pt idx="7">
                  <c:v>800</c:v>
                </c:pt>
                <c:pt idx="8">
                  <c:v>400</c:v>
                </c:pt>
                <c:pt idx="9">
                  <c:v>200</c:v>
                </c:pt>
                <c:pt idx="10">
                  <c:v>400</c:v>
                </c:pt>
              </c:numCache>
            </c:numRef>
          </c:val>
        </c:ser>
        <c:ser>
          <c:idx val="1"/>
          <c:order val="1"/>
          <c:tx>
            <c:strRef>
              <c:f>Sheet3!$C$3</c:f>
              <c:strCache>
                <c:ptCount val="1"/>
                <c:pt idx="0">
                  <c:v>Sum of Actual spent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Sheet3!$A$4:$A$26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lvl>
              </c:multiLvlStrCache>
            </c:multiLvlStrRef>
          </c:cat>
          <c:val>
            <c:numRef>
              <c:f>Sheet3!$C$4:$C$26</c:f>
              <c:numCache>
                <c:formatCode>General</c:formatCode>
                <c:ptCount val="11"/>
                <c:pt idx="0">
                  <c:v>700</c:v>
                </c:pt>
                <c:pt idx="1">
                  <c:v>100</c:v>
                </c:pt>
                <c:pt idx="2">
                  <c:v>250</c:v>
                </c:pt>
                <c:pt idx="3">
                  <c:v>730</c:v>
                </c:pt>
                <c:pt idx="4">
                  <c:v>550</c:v>
                </c:pt>
                <c:pt idx="5">
                  <c:v>500</c:v>
                </c:pt>
                <c:pt idx="6">
                  <c:v>25000</c:v>
                </c:pt>
                <c:pt idx="7">
                  <c:v>550</c:v>
                </c:pt>
                <c:pt idx="8">
                  <c:v>300</c:v>
                </c:pt>
                <c:pt idx="9">
                  <c:v>150</c:v>
                </c:pt>
                <c:pt idx="10">
                  <c:v>350</c:v>
                </c:pt>
              </c:numCache>
            </c:numRef>
          </c:val>
        </c:ser>
        <c:dLbls>
          <c:dLblPos val="ctr"/>
          <c:showLegendKey val="0"/>
          <c:showVal val="1"/>
          <c:showCatName val="0"/>
          <c:showSerName val="0"/>
          <c:showPercent val="0"/>
          <c:showBubbleSize val="0"/>
        </c:dLbls>
        <c:gapWidth val="150"/>
        <c:overlap val="100"/>
        <c:axId val="509587184"/>
        <c:axId val="509581744"/>
      </c:barChart>
      <c:catAx>
        <c:axId val="509587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581744"/>
        <c:crosses val="autoZero"/>
        <c:auto val="1"/>
        <c:lblAlgn val="ctr"/>
        <c:lblOffset val="100"/>
        <c:noMultiLvlLbl val="0"/>
      </c:catAx>
      <c:valAx>
        <c:axId val="509581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587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[SHAISTHA.xlsx]Sheet3!PivotTable3</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Sheet3!$F$3</c:f>
              <c:strCache>
                <c:ptCount val="1"/>
                <c:pt idx="0">
                  <c:v>Sum of Reamining</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Sheet3!$E$4:$E$15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Sheet3!$F$4:$F$15</c:f>
              <c:numCache>
                <c:formatCode>General</c:formatCode>
                <c:ptCount val="11"/>
                <c:pt idx="0">
                  <c:v>200</c:v>
                </c:pt>
                <c:pt idx="1">
                  <c:v>50</c:v>
                </c:pt>
                <c:pt idx="2">
                  <c:v>250</c:v>
                </c:pt>
                <c:pt idx="3">
                  <c:v>70</c:v>
                </c:pt>
                <c:pt idx="4">
                  <c:v>100</c:v>
                </c:pt>
                <c:pt idx="5">
                  <c:v>500</c:v>
                </c:pt>
                <c:pt idx="6">
                  <c:v>5000</c:v>
                </c:pt>
                <c:pt idx="7">
                  <c:v>250</c:v>
                </c:pt>
                <c:pt idx="8">
                  <c:v>100</c:v>
                </c:pt>
                <c:pt idx="9">
                  <c:v>50</c:v>
                </c:pt>
                <c:pt idx="10">
                  <c:v>50</c:v>
                </c:pt>
              </c:numCache>
            </c:numRef>
          </c:val>
        </c:ser>
        <c:ser>
          <c:idx val="1"/>
          <c:order val="1"/>
          <c:tx>
            <c:strRef>
              <c:f>Sheet3!$G$3</c:f>
              <c:strCache>
                <c:ptCount val="1"/>
                <c:pt idx="0">
                  <c:v>Sum of Monthly budget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Sheet3!$E$4:$E$15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Sheet3!$G$4:$G$15</c:f>
              <c:numCache>
                <c:formatCode>General</c:formatCode>
                <c:ptCount val="11"/>
                <c:pt idx="0">
                  <c:v>900</c:v>
                </c:pt>
                <c:pt idx="1">
                  <c:v>150</c:v>
                </c:pt>
                <c:pt idx="2">
                  <c:v>500</c:v>
                </c:pt>
                <c:pt idx="3">
                  <c:v>800</c:v>
                </c:pt>
                <c:pt idx="4">
                  <c:v>650</c:v>
                </c:pt>
                <c:pt idx="5">
                  <c:v>1000</c:v>
                </c:pt>
                <c:pt idx="6">
                  <c:v>30000</c:v>
                </c:pt>
                <c:pt idx="7">
                  <c:v>800</c:v>
                </c:pt>
                <c:pt idx="8">
                  <c:v>400</c:v>
                </c:pt>
                <c:pt idx="9">
                  <c:v>200</c:v>
                </c:pt>
                <c:pt idx="10">
                  <c:v>400</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[SHAISTHA.xlsx]Sheet3!PivotTable4</c:name>
    <c:fmtId val="1"/>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Sheet3!$J$3</c:f>
              <c:strCache>
                <c:ptCount val="1"/>
                <c:pt idx="0">
                  <c:v>Sum of Actual spent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Sheet3!$I$4:$I$15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Sheet3!$J$4:$J$15</c:f>
              <c:numCache>
                <c:formatCode>General</c:formatCode>
                <c:ptCount val="11"/>
                <c:pt idx="0">
                  <c:v>700</c:v>
                </c:pt>
                <c:pt idx="1">
                  <c:v>100</c:v>
                </c:pt>
                <c:pt idx="2">
                  <c:v>250</c:v>
                </c:pt>
                <c:pt idx="3">
                  <c:v>730</c:v>
                </c:pt>
                <c:pt idx="4">
                  <c:v>550</c:v>
                </c:pt>
                <c:pt idx="5">
                  <c:v>500</c:v>
                </c:pt>
                <c:pt idx="6">
                  <c:v>25000</c:v>
                </c:pt>
                <c:pt idx="7">
                  <c:v>550</c:v>
                </c:pt>
                <c:pt idx="8">
                  <c:v>300</c:v>
                </c:pt>
                <c:pt idx="9">
                  <c:v>150</c:v>
                </c:pt>
                <c:pt idx="10">
                  <c:v>350</c:v>
                </c:pt>
              </c:numCache>
            </c:numRef>
          </c:val>
          <c:smooth val="0"/>
        </c:ser>
        <c:ser>
          <c:idx val="1"/>
          <c:order val="1"/>
          <c:tx>
            <c:strRef>
              <c:f>Sheet3!$K$3</c:f>
              <c:strCache>
                <c:ptCount val="1"/>
                <c:pt idx="0">
                  <c:v>Sum of Monthly budget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Sheet3!$I$4:$I$15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Sheet3!$K$4:$K$15</c:f>
              <c:numCache>
                <c:formatCode>General</c:formatCode>
                <c:ptCount val="11"/>
                <c:pt idx="0">
                  <c:v>900</c:v>
                </c:pt>
                <c:pt idx="1">
                  <c:v>150</c:v>
                </c:pt>
                <c:pt idx="2">
                  <c:v>500</c:v>
                </c:pt>
                <c:pt idx="3">
                  <c:v>800</c:v>
                </c:pt>
                <c:pt idx="4">
                  <c:v>650</c:v>
                </c:pt>
                <c:pt idx="5">
                  <c:v>1000</c:v>
                </c:pt>
                <c:pt idx="6">
                  <c:v>30000</c:v>
                </c:pt>
                <c:pt idx="7">
                  <c:v>800</c:v>
                </c:pt>
                <c:pt idx="8">
                  <c:v>400</c:v>
                </c:pt>
                <c:pt idx="9">
                  <c:v>200</c:v>
                </c:pt>
                <c:pt idx="10">
                  <c:v>400</c:v>
                </c:pt>
              </c:numCache>
            </c:numRef>
          </c:val>
          <c:smooth val="0"/>
        </c:ser>
        <c:dLbls>
          <c:dLblPos val="ctr"/>
          <c:showLegendKey val="0"/>
          <c:showVal val="1"/>
          <c:showCatName val="0"/>
          <c:showSerName val="0"/>
          <c:showPercent val="0"/>
          <c:showBubbleSize val="0"/>
        </c:dLbls>
        <c:marker val="1"/>
        <c:smooth val="0"/>
        <c:axId val="509592624"/>
        <c:axId val="509595344"/>
      </c:lineChart>
      <c:catAx>
        <c:axId val="5095926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9595344"/>
        <c:crosses val="autoZero"/>
        <c:auto val="1"/>
        <c:lblAlgn val="ctr"/>
        <c:lblOffset val="100"/>
        <c:noMultiLvlLbl val="0"/>
      </c:catAx>
      <c:valAx>
        <c:axId val="5095953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09592624"/>
        <c:crosses val="autoZero"/>
        <c:crossBetween val="between"/>
      </c:valAx>
      <c:spPr>
        <a:noFill/>
        <a:ln>
          <a:noFill/>
        </a:ln>
        <a:effectLst/>
      </c:spPr>
    </c:plotArea>
    <c:legend>
      <c:legendPos val="r"/>
      <c:layout>
        <c:manualLayout>
          <c:xMode val="edge"/>
          <c:yMode val="edge"/>
          <c:x val="0.67899950490684791"/>
          <c:y val="0.30259341943291118"/>
          <c:w val="0.31066457778049061"/>
          <c:h val="0.3948131611341776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[SHAISTHA.xlsx]Sheet3!PivotTable5</c:name>
    <c:fmtId val="1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Sheet3!$N$3</c:f>
              <c:strCache>
                <c:ptCount val="1"/>
                <c:pt idx="0">
                  <c:v>Sum of Actual spent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Sheet3!$M$4:$M$15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Sheet3!$N$4:$N$15</c:f>
              <c:numCache>
                <c:formatCode>General</c:formatCode>
                <c:ptCount val="11"/>
                <c:pt idx="0">
                  <c:v>700</c:v>
                </c:pt>
                <c:pt idx="1">
                  <c:v>100</c:v>
                </c:pt>
                <c:pt idx="2">
                  <c:v>250</c:v>
                </c:pt>
                <c:pt idx="3">
                  <c:v>730</c:v>
                </c:pt>
                <c:pt idx="4">
                  <c:v>550</c:v>
                </c:pt>
                <c:pt idx="5">
                  <c:v>500</c:v>
                </c:pt>
                <c:pt idx="6">
                  <c:v>25000</c:v>
                </c:pt>
                <c:pt idx="7">
                  <c:v>550</c:v>
                </c:pt>
                <c:pt idx="8">
                  <c:v>300</c:v>
                </c:pt>
                <c:pt idx="9">
                  <c:v>150</c:v>
                </c:pt>
                <c:pt idx="10">
                  <c:v>350</c:v>
                </c:pt>
              </c:numCache>
            </c:numRef>
          </c:val>
        </c:ser>
        <c:ser>
          <c:idx val="1"/>
          <c:order val="1"/>
          <c:tx>
            <c:strRef>
              <c:f>Sheet3!$O$3</c:f>
              <c:strCache>
                <c:ptCount val="1"/>
                <c:pt idx="0">
                  <c:v>Sum of Monthly budget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elete val="1"/>
          </c:dLbls>
          <c:cat>
            <c:strRef>
              <c:f>Sheet3!$M$4:$M$15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Sheet3!$O$4:$O$15</c:f>
              <c:numCache>
                <c:formatCode>General</c:formatCode>
                <c:ptCount val="11"/>
                <c:pt idx="0">
                  <c:v>900</c:v>
                </c:pt>
                <c:pt idx="1">
                  <c:v>150</c:v>
                </c:pt>
                <c:pt idx="2">
                  <c:v>500</c:v>
                </c:pt>
                <c:pt idx="3">
                  <c:v>800</c:v>
                </c:pt>
                <c:pt idx="4">
                  <c:v>650</c:v>
                </c:pt>
                <c:pt idx="5">
                  <c:v>1000</c:v>
                </c:pt>
                <c:pt idx="6">
                  <c:v>30000</c:v>
                </c:pt>
                <c:pt idx="7">
                  <c:v>800</c:v>
                </c:pt>
                <c:pt idx="8">
                  <c:v>400</c:v>
                </c:pt>
                <c:pt idx="9">
                  <c:v>200</c:v>
                </c:pt>
                <c:pt idx="10">
                  <c:v>400</c:v>
                </c:pt>
              </c:numCache>
            </c:numRef>
          </c:val>
        </c:ser>
        <c:ser>
          <c:idx val="2"/>
          <c:order val="2"/>
          <c:tx>
            <c:strRef>
              <c:f>Sheet3!$P$3</c:f>
              <c:strCache>
                <c:ptCount val="1"/>
                <c:pt idx="0">
                  <c:v>Sum of Reamining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elete val="1"/>
          </c:dLbls>
          <c:cat>
            <c:strRef>
              <c:f>Sheet3!$M$4:$M$15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Sheet3!$P$4:$P$15</c:f>
              <c:numCache>
                <c:formatCode>General</c:formatCode>
                <c:ptCount val="11"/>
                <c:pt idx="0">
                  <c:v>200</c:v>
                </c:pt>
                <c:pt idx="1">
                  <c:v>50</c:v>
                </c:pt>
                <c:pt idx="2">
                  <c:v>250</c:v>
                </c:pt>
                <c:pt idx="3">
                  <c:v>70</c:v>
                </c:pt>
                <c:pt idx="4">
                  <c:v>100</c:v>
                </c:pt>
                <c:pt idx="5">
                  <c:v>500</c:v>
                </c:pt>
                <c:pt idx="6">
                  <c:v>5000</c:v>
                </c:pt>
                <c:pt idx="7">
                  <c:v>250</c:v>
                </c:pt>
                <c:pt idx="8">
                  <c:v>100</c:v>
                </c:pt>
                <c:pt idx="9">
                  <c:v>50</c:v>
                </c:pt>
                <c:pt idx="10">
                  <c:v>50</c:v>
                </c:pt>
              </c:numCache>
            </c:numRef>
          </c:val>
        </c:ser>
        <c:dLbls>
          <c:showLegendKey val="0"/>
          <c:showVal val="1"/>
          <c:showCatName val="0"/>
          <c:showSerName val="0"/>
          <c:showPercent val="0"/>
          <c:showBubbleSize val="0"/>
        </c:dLbls>
        <c:gapWidth val="150"/>
        <c:shape val="box"/>
        <c:axId val="509594256"/>
        <c:axId val="509582832"/>
        <c:axId val="0"/>
      </c:bar3DChart>
      <c:catAx>
        <c:axId val="5095942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582832"/>
        <c:crosses val="autoZero"/>
        <c:auto val="1"/>
        <c:lblAlgn val="ctr"/>
        <c:lblOffset val="100"/>
        <c:noMultiLvlLbl val="0"/>
      </c:catAx>
      <c:valAx>
        <c:axId val="509582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594256"/>
        <c:crosses val="autoZero"/>
        <c:crossBetween val="between"/>
      </c:valAx>
      <c:spPr>
        <a:noFill/>
        <a:ln w="25400">
          <a:noFill/>
        </a:ln>
        <a:effectLst/>
      </c:spPr>
    </c:plotArea>
    <c:legend>
      <c:legendPos val="r"/>
      <c:layout>
        <c:manualLayout>
          <c:xMode val="edge"/>
          <c:yMode val="edge"/>
          <c:x val="0.73199329983249584"/>
          <c:y val="0.35102247813555859"/>
          <c:w val="0.26800670016750416"/>
          <c:h val="0.485562840987337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[SHAISTHA.xlsx]Sheet3!PivotTable1</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917771938072018"/>
          <c:y val="0.15149408907401193"/>
          <c:w val="0.85647412356878583"/>
          <c:h val="0.50255061751217811"/>
        </c:manualLayout>
      </c:layout>
      <c:barChart>
        <c:barDir val="col"/>
        <c:grouping val="percentStacked"/>
        <c:varyColors val="0"/>
        <c:ser>
          <c:idx val="0"/>
          <c:order val="0"/>
          <c:tx>
            <c:strRef>
              <c:f>Sheet3!$B$3</c:f>
              <c:strCache>
                <c:ptCount val="1"/>
                <c:pt idx="0">
                  <c:v>Sum of Monthly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Sheet3!$A$4:$A$26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lvl>
              </c:multiLvlStrCache>
            </c:multiLvlStrRef>
          </c:cat>
          <c:val>
            <c:numRef>
              <c:f>Sheet3!$B$4:$B$26</c:f>
              <c:numCache>
                <c:formatCode>General</c:formatCode>
                <c:ptCount val="11"/>
                <c:pt idx="0">
                  <c:v>900</c:v>
                </c:pt>
                <c:pt idx="1">
                  <c:v>150</c:v>
                </c:pt>
                <c:pt idx="2">
                  <c:v>500</c:v>
                </c:pt>
                <c:pt idx="3">
                  <c:v>800</c:v>
                </c:pt>
                <c:pt idx="4">
                  <c:v>650</c:v>
                </c:pt>
                <c:pt idx="5">
                  <c:v>1000</c:v>
                </c:pt>
                <c:pt idx="6">
                  <c:v>30000</c:v>
                </c:pt>
                <c:pt idx="7">
                  <c:v>800</c:v>
                </c:pt>
                <c:pt idx="8">
                  <c:v>400</c:v>
                </c:pt>
                <c:pt idx="9">
                  <c:v>200</c:v>
                </c:pt>
                <c:pt idx="10">
                  <c:v>400</c:v>
                </c:pt>
              </c:numCache>
            </c:numRef>
          </c:val>
        </c:ser>
        <c:ser>
          <c:idx val="1"/>
          <c:order val="1"/>
          <c:tx>
            <c:strRef>
              <c:f>Sheet3!$C$3</c:f>
              <c:strCache>
                <c:ptCount val="1"/>
                <c:pt idx="0">
                  <c:v>Sum of Actual spent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Sheet3!$A$4:$A$26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lvl>
              </c:multiLvlStrCache>
            </c:multiLvlStrRef>
          </c:cat>
          <c:val>
            <c:numRef>
              <c:f>Sheet3!$C$4:$C$26</c:f>
              <c:numCache>
                <c:formatCode>General</c:formatCode>
                <c:ptCount val="11"/>
                <c:pt idx="0">
                  <c:v>700</c:v>
                </c:pt>
                <c:pt idx="1">
                  <c:v>100</c:v>
                </c:pt>
                <c:pt idx="2">
                  <c:v>250</c:v>
                </c:pt>
                <c:pt idx="3">
                  <c:v>730</c:v>
                </c:pt>
                <c:pt idx="4">
                  <c:v>550</c:v>
                </c:pt>
                <c:pt idx="5">
                  <c:v>500</c:v>
                </c:pt>
                <c:pt idx="6">
                  <c:v>25000</c:v>
                </c:pt>
                <c:pt idx="7">
                  <c:v>550</c:v>
                </c:pt>
                <c:pt idx="8">
                  <c:v>300</c:v>
                </c:pt>
                <c:pt idx="9">
                  <c:v>150</c:v>
                </c:pt>
                <c:pt idx="10">
                  <c:v>350</c:v>
                </c:pt>
              </c:numCache>
            </c:numRef>
          </c:val>
        </c:ser>
        <c:dLbls>
          <c:dLblPos val="ctr"/>
          <c:showLegendKey val="0"/>
          <c:showVal val="1"/>
          <c:showCatName val="0"/>
          <c:showSerName val="0"/>
          <c:showPercent val="0"/>
          <c:showBubbleSize val="0"/>
        </c:dLbls>
        <c:gapWidth val="150"/>
        <c:overlap val="100"/>
        <c:axId val="584133760"/>
        <c:axId val="584123968"/>
      </c:barChart>
      <c:catAx>
        <c:axId val="58413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123968"/>
        <c:crosses val="autoZero"/>
        <c:auto val="1"/>
        <c:lblAlgn val="ctr"/>
        <c:lblOffset val="100"/>
        <c:noMultiLvlLbl val="0"/>
      </c:catAx>
      <c:valAx>
        <c:axId val="5841239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133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[SHAISTHA.xlsx]Sheet3!PivotTable3</c:name>
    <c:fmtId val="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Sheet3!$F$3</c:f>
              <c:strCache>
                <c:ptCount val="1"/>
                <c:pt idx="0">
                  <c:v>Sum of Reamining</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Sheet3!$E$4:$E$15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Sheet3!$F$4:$F$15</c:f>
              <c:numCache>
                <c:formatCode>General</c:formatCode>
                <c:ptCount val="11"/>
                <c:pt idx="0">
                  <c:v>200</c:v>
                </c:pt>
                <c:pt idx="1">
                  <c:v>50</c:v>
                </c:pt>
                <c:pt idx="2">
                  <c:v>250</c:v>
                </c:pt>
                <c:pt idx="3">
                  <c:v>70</c:v>
                </c:pt>
                <c:pt idx="4">
                  <c:v>100</c:v>
                </c:pt>
                <c:pt idx="5">
                  <c:v>500</c:v>
                </c:pt>
                <c:pt idx="6">
                  <c:v>5000</c:v>
                </c:pt>
                <c:pt idx="7">
                  <c:v>250</c:v>
                </c:pt>
                <c:pt idx="8">
                  <c:v>100</c:v>
                </c:pt>
                <c:pt idx="9">
                  <c:v>50</c:v>
                </c:pt>
                <c:pt idx="10">
                  <c:v>50</c:v>
                </c:pt>
              </c:numCache>
            </c:numRef>
          </c:val>
        </c:ser>
        <c:ser>
          <c:idx val="1"/>
          <c:order val="1"/>
          <c:tx>
            <c:strRef>
              <c:f>Sheet3!$G$3</c:f>
              <c:strCache>
                <c:ptCount val="1"/>
                <c:pt idx="0">
                  <c:v>Sum of Monthly budget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Sheet3!$E$4:$E$15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Sheet3!$G$4:$G$15</c:f>
              <c:numCache>
                <c:formatCode>General</c:formatCode>
                <c:ptCount val="11"/>
                <c:pt idx="0">
                  <c:v>900</c:v>
                </c:pt>
                <c:pt idx="1">
                  <c:v>150</c:v>
                </c:pt>
                <c:pt idx="2">
                  <c:v>500</c:v>
                </c:pt>
                <c:pt idx="3">
                  <c:v>800</c:v>
                </c:pt>
                <c:pt idx="4">
                  <c:v>650</c:v>
                </c:pt>
                <c:pt idx="5">
                  <c:v>1000</c:v>
                </c:pt>
                <c:pt idx="6">
                  <c:v>30000</c:v>
                </c:pt>
                <c:pt idx="7">
                  <c:v>800</c:v>
                </c:pt>
                <c:pt idx="8">
                  <c:v>400</c:v>
                </c:pt>
                <c:pt idx="9">
                  <c:v>200</c:v>
                </c:pt>
                <c:pt idx="10">
                  <c:v>400</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[SHAISTHA.xlsx]Sheet3!PivotTable4</c:name>
    <c:fmtId val="4"/>
  </c:pivotSource>
  <c:chart>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Sheet3!$J$3</c:f>
              <c:strCache>
                <c:ptCount val="1"/>
                <c:pt idx="0">
                  <c:v>Sum of Actual spent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Sheet3!$I$4:$I$15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Sheet3!$J$4:$J$15</c:f>
              <c:numCache>
                <c:formatCode>General</c:formatCode>
                <c:ptCount val="11"/>
                <c:pt idx="0">
                  <c:v>700</c:v>
                </c:pt>
                <c:pt idx="1">
                  <c:v>100</c:v>
                </c:pt>
                <c:pt idx="2">
                  <c:v>250</c:v>
                </c:pt>
                <c:pt idx="3">
                  <c:v>730</c:v>
                </c:pt>
                <c:pt idx="4">
                  <c:v>550</c:v>
                </c:pt>
                <c:pt idx="5">
                  <c:v>500</c:v>
                </c:pt>
                <c:pt idx="6">
                  <c:v>25000</c:v>
                </c:pt>
                <c:pt idx="7">
                  <c:v>550</c:v>
                </c:pt>
                <c:pt idx="8">
                  <c:v>300</c:v>
                </c:pt>
                <c:pt idx="9">
                  <c:v>150</c:v>
                </c:pt>
                <c:pt idx="10">
                  <c:v>350</c:v>
                </c:pt>
              </c:numCache>
            </c:numRef>
          </c:val>
          <c:smooth val="0"/>
        </c:ser>
        <c:ser>
          <c:idx val="1"/>
          <c:order val="1"/>
          <c:tx>
            <c:strRef>
              <c:f>Sheet3!$K$3</c:f>
              <c:strCache>
                <c:ptCount val="1"/>
                <c:pt idx="0">
                  <c:v>Sum of Monthly budget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Sheet3!$I$4:$I$15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Sheet3!$K$4:$K$15</c:f>
              <c:numCache>
                <c:formatCode>General</c:formatCode>
                <c:ptCount val="11"/>
                <c:pt idx="0">
                  <c:v>900</c:v>
                </c:pt>
                <c:pt idx="1">
                  <c:v>150</c:v>
                </c:pt>
                <c:pt idx="2">
                  <c:v>500</c:v>
                </c:pt>
                <c:pt idx="3">
                  <c:v>800</c:v>
                </c:pt>
                <c:pt idx="4">
                  <c:v>650</c:v>
                </c:pt>
                <c:pt idx="5">
                  <c:v>1000</c:v>
                </c:pt>
                <c:pt idx="6">
                  <c:v>30000</c:v>
                </c:pt>
                <c:pt idx="7">
                  <c:v>800</c:v>
                </c:pt>
                <c:pt idx="8">
                  <c:v>400</c:v>
                </c:pt>
                <c:pt idx="9">
                  <c:v>200</c:v>
                </c:pt>
                <c:pt idx="10">
                  <c:v>400</c:v>
                </c:pt>
              </c:numCache>
            </c:numRef>
          </c:val>
          <c:smooth val="0"/>
        </c:ser>
        <c:dLbls>
          <c:dLblPos val="ctr"/>
          <c:showLegendKey val="0"/>
          <c:showVal val="1"/>
          <c:showCatName val="0"/>
          <c:showSerName val="0"/>
          <c:showPercent val="0"/>
          <c:showBubbleSize val="0"/>
        </c:dLbls>
        <c:marker val="1"/>
        <c:smooth val="0"/>
        <c:axId val="584119616"/>
        <c:axId val="584126688"/>
      </c:lineChart>
      <c:catAx>
        <c:axId val="5841196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4126688"/>
        <c:crosses val="autoZero"/>
        <c:auto val="1"/>
        <c:lblAlgn val="ctr"/>
        <c:lblOffset val="100"/>
        <c:noMultiLvlLbl val="0"/>
      </c:catAx>
      <c:valAx>
        <c:axId val="5841266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84119616"/>
        <c:crosses val="autoZero"/>
        <c:crossBetween val="between"/>
      </c:valAx>
      <c:spPr>
        <a:noFill/>
        <a:ln>
          <a:noFill/>
        </a:ln>
        <a:effectLst/>
      </c:spPr>
    </c:plotArea>
    <c:legend>
      <c:legendPos val="r"/>
      <c:layout>
        <c:manualLayout>
          <c:xMode val="edge"/>
          <c:yMode val="edge"/>
          <c:x val="0.68514379697952199"/>
          <c:y val="0.30259341943291118"/>
          <c:w val="0.31066457778049061"/>
          <c:h val="0.3948131611341776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[SHAISTHA.xlsx]Sheet3!PivotTable5</c:name>
    <c:fmtId val="1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47476059183453806"/>
          <c:y val="0.14682832166095855"/>
          <c:w val="0.167090091656524"/>
          <c:h val="0.7280406402751477"/>
        </c:manualLayout>
      </c:layout>
      <c:bar3DChart>
        <c:barDir val="bar"/>
        <c:grouping val="clustered"/>
        <c:varyColors val="0"/>
        <c:ser>
          <c:idx val="0"/>
          <c:order val="0"/>
          <c:tx>
            <c:strRef>
              <c:f>Sheet3!$N$3</c:f>
              <c:strCache>
                <c:ptCount val="1"/>
                <c:pt idx="0">
                  <c:v>Sum of Actual spent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Sheet3!$M$4:$M$15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Sheet3!$N$4:$N$15</c:f>
              <c:numCache>
                <c:formatCode>General</c:formatCode>
                <c:ptCount val="11"/>
                <c:pt idx="0">
                  <c:v>700</c:v>
                </c:pt>
                <c:pt idx="1">
                  <c:v>100</c:v>
                </c:pt>
                <c:pt idx="2">
                  <c:v>250</c:v>
                </c:pt>
                <c:pt idx="3">
                  <c:v>730</c:v>
                </c:pt>
                <c:pt idx="4">
                  <c:v>550</c:v>
                </c:pt>
                <c:pt idx="5">
                  <c:v>500</c:v>
                </c:pt>
                <c:pt idx="6">
                  <c:v>25000</c:v>
                </c:pt>
                <c:pt idx="7">
                  <c:v>550</c:v>
                </c:pt>
                <c:pt idx="8">
                  <c:v>300</c:v>
                </c:pt>
                <c:pt idx="9">
                  <c:v>150</c:v>
                </c:pt>
                <c:pt idx="10">
                  <c:v>350</c:v>
                </c:pt>
              </c:numCache>
            </c:numRef>
          </c:val>
        </c:ser>
        <c:ser>
          <c:idx val="1"/>
          <c:order val="1"/>
          <c:tx>
            <c:strRef>
              <c:f>Sheet3!$O$3</c:f>
              <c:strCache>
                <c:ptCount val="1"/>
                <c:pt idx="0">
                  <c:v>Sum of Monthly budget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elete val="1"/>
          </c:dLbls>
          <c:cat>
            <c:strRef>
              <c:f>Sheet3!$M$4:$M$15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Sheet3!$O$4:$O$15</c:f>
              <c:numCache>
                <c:formatCode>General</c:formatCode>
                <c:ptCount val="11"/>
                <c:pt idx="0">
                  <c:v>900</c:v>
                </c:pt>
                <c:pt idx="1">
                  <c:v>150</c:v>
                </c:pt>
                <c:pt idx="2">
                  <c:v>500</c:v>
                </c:pt>
                <c:pt idx="3">
                  <c:v>800</c:v>
                </c:pt>
                <c:pt idx="4">
                  <c:v>650</c:v>
                </c:pt>
                <c:pt idx="5">
                  <c:v>1000</c:v>
                </c:pt>
                <c:pt idx="6">
                  <c:v>30000</c:v>
                </c:pt>
                <c:pt idx="7">
                  <c:v>800</c:v>
                </c:pt>
                <c:pt idx="8">
                  <c:v>400</c:v>
                </c:pt>
                <c:pt idx="9">
                  <c:v>200</c:v>
                </c:pt>
                <c:pt idx="10">
                  <c:v>400</c:v>
                </c:pt>
              </c:numCache>
            </c:numRef>
          </c:val>
        </c:ser>
        <c:ser>
          <c:idx val="2"/>
          <c:order val="2"/>
          <c:tx>
            <c:strRef>
              <c:f>Sheet3!$P$3</c:f>
              <c:strCache>
                <c:ptCount val="1"/>
                <c:pt idx="0">
                  <c:v>Sum of Reamining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elete val="1"/>
          </c:dLbls>
          <c:cat>
            <c:strRef>
              <c:f>Sheet3!$M$4:$M$15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Sheet3!$P$4:$P$15</c:f>
              <c:numCache>
                <c:formatCode>General</c:formatCode>
                <c:ptCount val="11"/>
                <c:pt idx="0">
                  <c:v>200</c:v>
                </c:pt>
                <c:pt idx="1">
                  <c:v>50</c:v>
                </c:pt>
                <c:pt idx="2">
                  <c:v>250</c:v>
                </c:pt>
                <c:pt idx="3">
                  <c:v>70</c:v>
                </c:pt>
                <c:pt idx="4">
                  <c:v>100</c:v>
                </c:pt>
                <c:pt idx="5">
                  <c:v>500</c:v>
                </c:pt>
                <c:pt idx="6">
                  <c:v>5000</c:v>
                </c:pt>
                <c:pt idx="7">
                  <c:v>250</c:v>
                </c:pt>
                <c:pt idx="8">
                  <c:v>100</c:v>
                </c:pt>
                <c:pt idx="9">
                  <c:v>50</c:v>
                </c:pt>
                <c:pt idx="10">
                  <c:v>50</c:v>
                </c:pt>
              </c:numCache>
            </c:numRef>
          </c:val>
        </c:ser>
        <c:dLbls>
          <c:showLegendKey val="0"/>
          <c:showVal val="1"/>
          <c:showCatName val="0"/>
          <c:showSerName val="0"/>
          <c:showPercent val="0"/>
          <c:showBubbleSize val="0"/>
        </c:dLbls>
        <c:gapWidth val="150"/>
        <c:shape val="box"/>
        <c:axId val="584121792"/>
        <c:axId val="584126144"/>
        <c:axId val="0"/>
      </c:bar3DChart>
      <c:catAx>
        <c:axId val="5841217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126144"/>
        <c:crosses val="autoZero"/>
        <c:auto val="1"/>
        <c:lblAlgn val="ctr"/>
        <c:lblOffset val="100"/>
        <c:noMultiLvlLbl val="0"/>
      </c:catAx>
      <c:valAx>
        <c:axId val="584126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121792"/>
        <c:crosses val="autoZero"/>
        <c:crossBetween val="between"/>
      </c:valAx>
      <c:spPr>
        <a:noFill/>
        <a:ln w="25400">
          <a:noFill/>
        </a:ln>
        <a:effectLst/>
      </c:spPr>
    </c:plotArea>
    <c:legend>
      <c:legendPos val="r"/>
      <c:layout>
        <c:manualLayout>
          <c:xMode val="edge"/>
          <c:yMode val="edge"/>
          <c:x val="0.73199329983249584"/>
          <c:y val="0.35102247813555859"/>
          <c:w val="0.26800670016750416"/>
          <c:h val="0.485562840987337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104775</xdr:colOff>
      <xdr:row>29</xdr:row>
      <xdr:rowOff>114300</xdr:rowOff>
    </xdr:from>
    <xdr:to>
      <xdr:col>3</xdr:col>
      <xdr:colOff>390525</xdr:colOff>
      <xdr:row>44</xdr:row>
      <xdr:rowOff>4762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590552</xdr:colOff>
      <xdr:row>15</xdr:row>
      <xdr:rowOff>147637</xdr:rowOff>
    </xdr:from>
    <xdr:to>
      <xdr:col>6</xdr:col>
      <xdr:colOff>1409701</xdr:colOff>
      <xdr:row>27</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828675</xdr:colOff>
      <xdr:row>16</xdr:row>
      <xdr:rowOff>185737</xdr:rowOff>
    </xdr:from>
    <xdr:to>
      <xdr:col>12</xdr:col>
      <xdr:colOff>228600</xdr:colOff>
      <xdr:row>28</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866775</xdr:colOff>
      <xdr:row>16</xdr:row>
      <xdr:rowOff>147637</xdr:rowOff>
    </xdr:from>
    <xdr:to>
      <xdr:col>17</xdr:col>
      <xdr:colOff>152400</xdr:colOff>
      <xdr:row>30</xdr:row>
      <xdr:rowOff>38100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28575</xdr:colOff>
      <xdr:row>32</xdr:row>
      <xdr:rowOff>9525</xdr:rowOff>
    </xdr:from>
    <xdr:to>
      <xdr:col>5</xdr:col>
      <xdr:colOff>923925</xdr:colOff>
      <xdr:row>45</xdr:row>
      <xdr:rowOff>57150</xdr:rowOff>
    </xdr:to>
    <mc:AlternateContent xmlns:mc="http://schemas.openxmlformats.org/markup-compatibility/2006">
      <mc:Choice xmlns:a14="http://schemas.microsoft.com/office/drawing/2010/main"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438650" y="6105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247650</xdr:colOff>
      <xdr:row>32</xdr:row>
      <xdr:rowOff>28575</xdr:rowOff>
    </xdr:from>
    <xdr:to>
      <xdr:col>7</xdr:col>
      <xdr:colOff>590550</xdr:colOff>
      <xdr:row>45</xdr:row>
      <xdr:rowOff>76200</xdr:rowOff>
    </xdr:to>
    <mc:AlternateContent xmlns:mc="http://schemas.openxmlformats.org/markup-compatibility/2006">
      <mc:Choice xmlns:a14="http://schemas.microsoft.com/office/drawing/2010/main" Requires="a14">
        <xdr:graphicFrame macro="">
          <xdr:nvGraphicFramePr>
            <xdr:cNvPr id="7" name="Monthly budget"/>
            <xdr:cNvGraphicFramePr/>
          </xdr:nvGraphicFramePr>
          <xdr:xfrm>
            <a:off x="0" y="0"/>
            <a:ext cx="0" cy="0"/>
          </xdr:xfrm>
          <a:graphic>
            <a:graphicData uri="http://schemas.microsoft.com/office/drawing/2010/slicer">
              <sle:slicer xmlns:sle="http://schemas.microsoft.com/office/drawing/2010/slicer" name="Monthly budget"/>
            </a:graphicData>
          </a:graphic>
        </xdr:graphicFrame>
      </mc:Choice>
      <mc:Fallback>
        <xdr:sp macro="" textlink="">
          <xdr:nvSpPr>
            <xdr:cNvPr id="0" name=""/>
            <xdr:cNvSpPr>
              <a:spLocks noTextEdit="1"/>
            </xdr:cNvSpPr>
          </xdr:nvSpPr>
          <xdr:spPr>
            <a:xfrm>
              <a:off x="6743700" y="6124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914400</xdr:colOff>
      <xdr:row>32</xdr:row>
      <xdr:rowOff>28575</xdr:rowOff>
    </xdr:from>
    <xdr:to>
      <xdr:col>10</xdr:col>
      <xdr:colOff>552450</xdr:colOff>
      <xdr:row>45</xdr:row>
      <xdr:rowOff>76200</xdr:rowOff>
    </xdr:to>
    <mc:AlternateContent xmlns:mc="http://schemas.openxmlformats.org/markup-compatibility/2006">
      <mc:Choice xmlns:a14="http://schemas.microsoft.com/office/drawing/2010/main" Requires="a14">
        <xdr:graphicFrame macro="">
          <xdr:nvGraphicFramePr>
            <xdr:cNvPr id="8" name="Actual spent"/>
            <xdr:cNvGraphicFramePr/>
          </xdr:nvGraphicFramePr>
          <xdr:xfrm>
            <a:off x="0" y="0"/>
            <a:ext cx="0" cy="0"/>
          </xdr:xfrm>
          <a:graphic>
            <a:graphicData uri="http://schemas.microsoft.com/office/drawing/2010/slicer">
              <sle:slicer xmlns:sle="http://schemas.microsoft.com/office/drawing/2010/slicer" name="Actual spent"/>
            </a:graphicData>
          </a:graphic>
        </xdr:graphicFrame>
      </mc:Choice>
      <mc:Fallback>
        <xdr:sp macro="" textlink="">
          <xdr:nvSpPr>
            <xdr:cNvPr id="0" name=""/>
            <xdr:cNvSpPr>
              <a:spLocks noTextEdit="1"/>
            </xdr:cNvSpPr>
          </xdr:nvSpPr>
          <xdr:spPr>
            <a:xfrm>
              <a:off x="9505950" y="6124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1438275</xdr:colOff>
      <xdr:row>31</xdr:row>
      <xdr:rowOff>180975</xdr:rowOff>
    </xdr:from>
    <xdr:to>
      <xdr:col>13</xdr:col>
      <xdr:colOff>238125</xdr:colOff>
      <xdr:row>45</xdr:row>
      <xdr:rowOff>38100</xdr:rowOff>
    </xdr:to>
    <mc:AlternateContent xmlns:mc="http://schemas.openxmlformats.org/markup-compatibility/2006">
      <mc:Choice xmlns:a14="http://schemas.microsoft.com/office/drawing/2010/main" Requires="a14">
        <xdr:graphicFrame macro="">
          <xdr:nvGraphicFramePr>
            <xdr:cNvPr id="9" name="Reamining"/>
            <xdr:cNvGraphicFramePr/>
          </xdr:nvGraphicFramePr>
          <xdr:xfrm>
            <a:off x="0" y="0"/>
            <a:ext cx="0" cy="0"/>
          </xdr:xfrm>
          <a:graphic>
            <a:graphicData uri="http://schemas.microsoft.com/office/drawing/2010/slicer">
              <sle:slicer xmlns:sle="http://schemas.microsoft.com/office/drawing/2010/slicer" name="Reamining"/>
            </a:graphicData>
          </a:graphic>
        </xdr:graphicFrame>
      </mc:Choice>
      <mc:Fallback>
        <xdr:sp macro="" textlink="">
          <xdr:nvSpPr>
            <xdr:cNvPr id="0" name=""/>
            <xdr:cNvSpPr>
              <a:spLocks noTextEdit="1"/>
            </xdr:cNvSpPr>
          </xdr:nvSpPr>
          <xdr:spPr>
            <a:xfrm>
              <a:off x="12220575" y="6086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361949</xdr:colOff>
      <xdr:row>0</xdr:row>
      <xdr:rowOff>123825</xdr:rowOff>
    </xdr:from>
    <xdr:to>
      <xdr:col>24</xdr:col>
      <xdr:colOff>333374</xdr:colOff>
      <xdr:row>5</xdr:row>
      <xdr:rowOff>85725</xdr:rowOff>
    </xdr:to>
    <xdr:sp macro="" textlink="">
      <xdr:nvSpPr>
        <xdr:cNvPr id="2" name="Rounded Rectangle 1"/>
        <xdr:cNvSpPr/>
      </xdr:nvSpPr>
      <xdr:spPr>
        <a:xfrm>
          <a:off x="361949" y="123825"/>
          <a:ext cx="14601825" cy="914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114300</xdr:colOff>
      <xdr:row>1</xdr:row>
      <xdr:rowOff>190499</xdr:rowOff>
    </xdr:from>
    <xdr:ext cx="7258050" cy="466725"/>
    <xdr:sp macro="" textlink="">
      <xdr:nvSpPr>
        <xdr:cNvPr id="3" name="TextBox 2"/>
        <xdr:cNvSpPr txBox="1"/>
      </xdr:nvSpPr>
      <xdr:spPr>
        <a:xfrm>
          <a:off x="2552700" y="380999"/>
          <a:ext cx="7258050" cy="466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b="1"/>
            <a:t>PERSONAL  FINANCE  BUDGET  DASHBOARD</a:t>
          </a:r>
        </a:p>
      </xdr:txBody>
    </xdr:sp>
    <xdr:clientData/>
  </xdr:oneCellAnchor>
  <xdr:twoCellAnchor>
    <xdr:from>
      <xdr:col>0</xdr:col>
      <xdr:colOff>123824</xdr:colOff>
      <xdr:row>9</xdr:row>
      <xdr:rowOff>104775</xdr:rowOff>
    </xdr:from>
    <xdr:to>
      <xdr:col>6</xdr:col>
      <xdr:colOff>533400</xdr:colOff>
      <xdr:row>23</xdr:row>
      <xdr:rowOff>185737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295275</xdr:colOff>
      <xdr:row>10</xdr:row>
      <xdr:rowOff>33337</xdr:rowOff>
    </xdr:from>
    <xdr:to>
      <xdr:col>11</xdr:col>
      <xdr:colOff>247650</xdr:colOff>
      <xdr:row>22</xdr:row>
      <xdr:rowOff>47625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352425</xdr:colOff>
      <xdr:row>10</xdr:row>
      <xdr:rowOff>23812</xdr:rowOff>
    </xdr:from>
    <xdr:to>
      <xdr:col>19</xdr:col>
      <xdr:colOff>219074</xdr:colOff>
      <xdr:row>21</xdr:row>
      <xdr:rowOff>180975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495299</xdr:colOff>
      <xdr:row>25</xdr:row>
      <xdr:rowOff>147637</xdr:rowOff>
    </xdr:from>
    <xdr:to>
      <xdr:col>5</xdr:col>
      <xdr:colOff>466724</xdr:colOff>
      <xdr:row>39</xdr:row>
      <xdr:rowOff>38100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590550</xdr:colOff>
      <xdr:row>26</xdr:row>
      <xdr:rowOff>0</xdr:rowOff>
    </xdr:from>
    <xdr:to>
      <xdr:col>10</xdr:col>
      <xdr:colOff>590550</xdr:colOff>
      <xdr:row>39</xdr:row>
      <xdr:rowOff>47625</xdr:rowOff>
    </xdr:to>
    <mc:AlternateContent xmlns:mc="http://schemas.openxmlformats.org/markup-compatibility/2006">
      <mc:Choice xmlns:a14="http://schemas.microsoft.com/office/drawing/2010/main" Requires="a14">
        <xdr:graphicFrame macro="">
          <xdr:nvGraphicFramePr>
            <xdr:cNvPr id="8"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857750" y="4953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533400</xdr:colOff>
      <xdr:row>25</xdr:row>
      <xdr:rowOff>180975</xdr:rowOff>
    </xdr:from>
    <xdr:to>
      <xdr:col>14</xdr:col>
      <xdr:colOff>533400</xdr:colOff>
      <xdr:row>39</xdr:row>
      <xdr:rowOff>38100</xdr:rowOff>
    </xdr:to>
    <mc:AlternateContent xmlns:mc="http://schemas.openxmlformats.org/markup-compatibility/2006">
      <mc:Choice xmlns:a14="http://schemas.microsoft.com/office/drawing/2010/main" Requires="a14">
        <xdr:graphicFrame macro="">
          <xdr:nvGraphicFramePr>
            <xdr:cNvPr id="9" name="Monthly budget 1"/>
            <xdr:cNvGraphicFramePr/>
          </xdr:nvGraphicFramePr>
          <xdr:xfrm>
            <a:off x="0" y="0"/>
            <a:ext cx="0" cy="0"/>
          </xdr:xfrm>
          <a:graphic>
            <a:graphicData uri="http://schemas.microsoft.com/office/drawing/2010/slicer">
              <sle:slicer xmlns:sle="http://schemas.microsoft.com/office/drawing/2010/slicer" name="Monthly budget 1"/>
            </a:graphicData>
          </a:graphic>
        </xdr:graphicFrame>
      </mc:Choice>
      <mc:Fallback>
        <xdr:sp macro="" textlink="">
          <xdr:nvSpPr>
            <xdr:cNvPr id="0" name=""/>
            <xdr:cNvSpPr>
              <a:spLocks noTextEdit="1"/>
            </xdr:cNvSpPr>
          </xdr:nvSpPr>
          <xdr:spPr>
            <a:xfrm>
              <a:off x="7239000" y="4943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400050</xdr:colOff>
      <xdr:row>25</xdr:row>
      <xdr:rowOff>171450</xdr:rowOff>
    </xdr:from>
    <xdr:to>
      <xdr:col>18</xdr:col>
      <xdr:colOff>400050</xdr:colOff>
      <xdr:row>39</xdr:row>
      <xdr:rowOff>28575</xdr:rowOff>
    </xdr:to>
    <mc:AlternateContent xmlns:mc="http://schemas.openxmlformats.org/markup-compatibility/2006">
      <mc:Choice xmlns:a14="http://schemas.microsoft.com/office/drawing/2010/main" Requires="a14">
        <xdr:graphicFrame macro="">
          <xdr:nvGraphicFramePr>
            <xdr:cNvPr id="10" name="Actual spent 1"/>
            <xdr:cNvGraphicFramePr/>
          </xdr:nvGraphicFramePr>
          <xdr:xfrm>
            <a:off x="0" y="0"/>
            <a:ext cx="0" cy="0"/>
          </xdr:xfrm>
          <a:graphic>
            <a:graphicData uri="http://schemas.microsoft.com/office/drawing/2010/slicer">
              <sle:slicer xmlns:sle="http://schemas.microsoft.com/office/drawing/2010/slicer" name="Actual spent 1"/>
            </a:graphicData>
          </a:graphic>
        </xdr:graphicFrame>
      </mc:Choice>
      <mc:Fallback>
        <xdr:sp macro="" textlink="">
          <xdr:nvSpPr>
            <xdr:cNvPr id="0" name=""/>
            <xdr:cNvSpPr>
              <a:spLocks noTextEdit="1"/>
            </xdr:cNvSpPr>
          </xdr:nvSpPr>
          <xdr:spPr>
            <a:xfrm>
              <a:off x="9544050" y="4933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209550</xdr:colOff>
      <xdr:row>25</xdr:row>
      <xdr:rowOff>142875</xdr:rowOff>
    </xdr:from>
    <xdr:to>
      <xdr:col>22</xdr:col>
      <xdr:colOff>209550</xdr:colOff>
      <xdr:row>39</xdr:row>
      <xdr:rowOff>0</xdr:rowOff>
    </xdr:to>
    <mc:AlternateContent xmlns:mc="http://schemas.openxmlformats.org/markup-compatibility/2006">
      <mc:Choice xmlns:a14="http://schemas.microsoft.com/office/drawing/2010/main" Requires="a14">
        <xdr:graphicFrame macro="">
          <xdr:nvGraphicFramePr>
            <xdr:cNvPr id="11" name="Reamining 1"/>
            <xdr:cNvGraphicFramePr/>
          </xdr:nvGraphicFramePr>
          <xdr:xfrm>
            <a:off x="0" y="0"/>
            <a:ext cx="0" cy="0"/>
          </xdr:xfrm>
          <a:graphic>
            <a:graphicData uri="http://schemas.microsoft.com/office/drawing/2010/slicer">
              <sle:slicer xmlns:sle="http://schemas.microsoft.com/office/drawing/2010/slicer" name="Reamining 1"/>
            </a:graphicData>
          </a:graphic>
        </xdr:graphicFrame>
      </mc:Choice>
      <mc:Fallback>
        <xdr:sp macro="" textlink="">
          <xdr:nvSpPr>
            <xdr:cNvPr id="0" name=""/>
            <xdr:cNvSpPr>
              <a:spLocks noTextEdit="1"/>
            </xdr:cNvSpPr>
          </xdr:nvSpPr>
          <xdr:spPr>
            <a:xfrm>
              <a:off x="11791950" y="4905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228599</xdr:colOff>
      <xdr:row>4</xdr:row>
      <xdr:rowOff>180975</xdr:rowOff>
    </xdr:from>
    <xdr:to>
      <xdr:col>4</xdr:col>
      <xdr:colOff>123824</xdr:colOff>
      <xdr:row>8</xdr:row>
      <xdr:rowOff>57150</xdr:rowOff>
    </xdr:to>
    <xdr:sp macro="" textlink="">
      <xdr:nvSpPr>
        <xdr:cNvPr id="13" name="Rounded Rectangle 12"/>
        <xdr:cNvSpPr/>
      </xdr:nvSpPr>
      <xdr:spPr>
        <a:xfrm>
          <a:off x="838199" y="942975"/>
          <a:ext cx="1724025" cy="6381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247650</xdr:colOff>
      <xdr:row>5</xdr:row>
      <xdr:rowOff>95249</xdr:rowOff>
    </xdr:from>
    <xdr:to>
      <xdr:col>4</xdr:col>
      <xdr:colOff>47625</xdr:colOff>
      <xdr:row>8</xdr:row>
      <xdr:rowOff>19050</xdr:rowOff>
    </xdr:to>
    <xdr:sp macro="" textlink="">
      <xdr:nvSpPr>
        <xdr:cNvPr id="14" name="TextBox 13"/>
        <xdr:cNvSpPr txBox="1"/>
      </xdr:nvSpPr>
      <xdr:spPr>
        <a:xfrm>
          <a:off x="857250" y="1047749"/>
          <a:ext cx="162877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1100">
              <a:solidFill>
                <a:schemeClr val="lt1"/>
              </a:solidFill>
              <a:latin typeface="+mn-lt"/>
              <a:ea typeface="+mn-ea"/>
              <a:cs typeface="+mn-cs"/>
            </a:rPr>
            <a:t>MONTHLY  BUDGET</a:t>
          </a:r>
        </a:p>
        <a:p>
          <a:pPr marL="0" indent="0" algn="l"/>
          <a:r>
            <a:rPr lang="en-IN" sz="1100">
              <a:solidFill>
                <a:schemeClr val="lt1"/>
              </a:solidFill>
              <a:latin typeface="+mn-lt"/>
              <a:ea typeface="+mn-ea"/>
              <a:cs typeface="+mn-cs"/>
            </a:rPr>
            <a:t>88%</a:t>
          </a:r>
        </a:p>
      </xdr:txBody>
    </xdr:sp>
    <xdr:clientData/>
  </xdr:twoCellAnchor>
  <xdr:twoCellAnchor>
    <xdr:from>
      <xdr:col>5</xdr:col>
      <xdr:colOff>171449</xdr:colOff>
      <xdr:row>5</xdr:row>
      <xdr:rowOff>9524</xdr:rowOff>
    </xdr:from>
    <xdr:to>
      <xdr:col>7</xdr:col>
      <xdr:colOff>561974</xdr:colOff>
      <xdr:row>8</xdr:row>
      <xdr:rowOff>85725</xdr:rowOff>
    </xdr:to>
    <xdr:sp macro="" textlink="">
      <xdr:nvSpPr>
        <xdr:cNvPr id="15" name="Rounded Rectangle 14"/>
        <xdr:cNvSpPr/>
      </xdr:nvSpPr>
      <xdr:spPr>
        <a:xfrm>
          <a:off x="3219449" y="962024"/>
          <a:ext cx="1609725" cy="6477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247650</xdr:colOff>
      <xdr:row>6</xdr:row>
      <xdr:rowOff>19050</xdr:rowOff>
    </xdr:from>
    <xdr:to>
      <xdr:col>7</xdr:col>
      <xdr:colOff>495300</xdr:colOff>
      <xdr:row>7</xdr:row>
      <xdr:rowOff>171450</xdr:rowOff>
    </xdr:to>
    <xdr:sp macro="" textlink="">
      <xdr:nvSpPr>
        <xdr:cNvPr id="16" name="TextBox 15"/>
        <xdr:cNvSpPr txBox="1"/>
      </xdr:nvSpPr>
      <xdr:spPr>
        <a:xfrm>
          <a:off x="3295650" y="1162050"/>
          <a:ext cx="1466850" cy="34290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100" b="0" cap="none" spc="0">
              <a:ln w="0"/>
              <a:solidFill>
                <a:schemeClr val="bg1"/>
              </a:solidFill>
              <a:effectLst>
                <a:outerShdw blurRad="38100" dist="25400" dir="5400000" algn="ctr" rotWithShape="0">
                  <a:srgbClr val="6E747A">
                    <a:alpha val="43000"/>
                  </a:srgbClr>
                </a:outerShdw>
              </a:effectLst>
              <a:latin typeface="+mn-lt"/>
              <a:ea typeface="+mn-ea"/>
              <a:cs typeface="+mn-cs"/>
            </a:rPr>
            <a:t>ACTUAL</a:t>
          </a:r>
          <a:r>
            <a:rPr lang="en-IN" sz="1100" b="0" cap="none" spc="0">
              <a:ln w="0"/>
              <a:solidFill>
                <a:schemeClr val="bg1"/>
              </a:solidFill>
              <a:effectLst>
                <a:outerShdw blurRad="38100" dist="25400" dir="5400000" algn="ctr" rotWithShape="0">
                  <a:srgbClr val="6E747A">
                    <a:alpha val="43000"/>
                  </a:srgbClr>
                </a:outerShdw>
              </a:effectLst>
            </a:rPr>
            <a:t>   SPENT 68.8</a:t>
          </a:r>
        </a:p>
      </xdr:txBody>
    </xdr:sp>
    <xdr:clientData/>
  </xdr:twoCellAnchor>
  <xdr:twoCellAnchor>
    <xdr:from>
      <xdr:col>9</xdr:col>
      <xdr:colOff>171450</xdr:colOff>
      <xdr:row>5</xdr:row>
      <xdr:rowOff>66675</xdr:rowOff>
    </xdr:from>
    <xdr:to>
      <xdr:col>12</xdr:col>
      <xdr:colOff>323850</xdr:colOff>
      <xdr:row>8</xdr:row>
      <xdr:rowOff>152400</xdr:rowOff>
    </xdr:to>
    <xdr:sp macro="" textlink="">
      <xdr:nvSpPr>
        <xdr:cNvPr id="17" name="Rounded Rectangle 16"/>
        <xdr:cNvSpPr/>
      </xdr:nvSpPr>
      <xdr:spPr>
        <a:xfrm>
          <a:off x="5657850" y="1019175"/>
          <a:ext cx="1981200" cy="657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371475</xdr:colOff>
      <xdr:row>6</xdr:row>
      <xdr:rowOff>9525</xdr:rowOff>
    </xdr:from>
    <xdr:to>
      <xdr:col>12</xdr:col>
      <xdr:colOff>161925</xdr:colOff>
      <xdr:row>8</xdr:row>
      <xdr:rowOff>19050</xdr:rowOff>
    </xdr:to>
    <xdr:sp macro="" textlink="">
      <xdr:nvSpPr>
        <xdr:cNvPr id="18" name="TextBox 17"/>
        <xdr:cNvSpPr txBox="1"/>
      </xdr:nvSpPr>
      <xdr:spPr>
        <a:xfrm>
          <a:off x="5857875" y="1152525"/>
          <a:ext cx="1619250" cy="390525"/>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100"/>
            <a:t>REAMINING  19.2</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3.503197685182" createdVersion="5" refreshedVersion="5" minRefreshableVersion="3" recordCount="12">
  <cacheSource type="worksheet">
    <worksheetSource ref="A1:F13" sheet="Budget"/>
  </cacheSource>
  <cacheFields count="6">
    <cacheField name="Category" numFmtId="0">
      <sharedItems count="11">
        <s v="Rent"/>
        <s v="Food"/>
        <s v="Transport"/>
        <s v="Entertainment"/>
        <s v="Savings"/>
        <s v="Shopping"/>
        <s v="Education"/>
        <s v="Utilities"/>
        <s v="Healthcare"/>
        <s v="Freelance"/>
        <s v="Salary"/>
      </sharedItems>
    </cacheField>
    <cacheField name="Monthly budget" numFmtId="0">
      <sharedItems containsSemiMixedTypes="0" containsString="0" containsNumber="1" containsInteger="1" minValue="150" maxValue="30000" count="10">
        <n v="1000"/>
        <n v="500"/>
        <n v="200"/>
        <n v="150"/>
        <n v="300"/>
        <n v="400"/>
        <n v="900"/>
        <n v="650"/>
        <n v="800"/>
        <n v="30000"/>
      </sharedItems>
    </cacheField>
    <cacheField name="Actual spent" numFmtId="0">
      <sharedItems containsSemiMixedTypes="0" containsString="0" containsNumber="1" containsInteger="1" minValue="100" maxValue="25000" count="11">
        <n v="500"/>
        <n v="250"/>
        <n v="150"/>
        <n v="100"/>
        <n v="450"/>
        <n v="300"/>
        <n v="700"/>
        <n v="350"/>
        <n v="550"/>
        <n v="730"/>
        <n v="25000"/>
      </sharedItems>
    </cacheField>
    <cacheField name="Reamining" numFmtId="0">
      <sharedItems containsSemiMixedTypes="0" containsString="0" containsNumber="1" containsInteger="1" minValue="50" maxValue="5000" count="7">
        <n v="500"/>
        <n v="250"/>
        <n v="50"/>
        <n v="200"/>
        <n v="100"/>
        <n v="70"/>
        <n v="5000"/>
      </sharedItems>
    </cacheField>
    <cacheField name="Month" numFmtId="0">
      <sharedItems count="1">
        <s v="January"/>
      </sharedItems>
    </cacheField>
    <cacheField name="Date" numFmtId="14">
      <sharedItems containsSemiMixedTypes="0" containsNonDate="0" containsDate="1" containsString="0" minDate="2025-01-01T00:00:00" maxDate="2025-01-13T00: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
  <r>
    <x v="0"/>
    <x v="0"/>
    <x v="0"/>
    <x v="0"/>
    <x v="0"/>
    <d v="2025-01-01T00:00:00"/>
  </r>
  <r>
    <x v="1"/>
    <x v="1"/>
    <x v="1"/>
    <x v="1"/>
    <x v="0"/>
    <d v="2025-01-02T00:00:00"/>
  </r>
  <r>
    <x v="2"/>
    <x v="2"/>
    <x v="2"/>
    <x v="2"/>
    <x v="0"/>
    <d v="2025-01-03T00:00:00"/>
  </r>
  <r>
    <x v="3"/>
    <x v="3"/>
    <x v="3"/>
    <x v="2"/>
    <x v="0"/>
    <d v="2025-01-04T00:00:00"/>
  </r>
  <r>
    <x v="4"/>
    <x v="4"/>
    <x v="3"/>
    <x v="3"/>
    <x v="0"/>
    <d v="2025-01-05T00:00:00"/>
  </r>
  <r>
    <x v="4"/>
    <x v="1"/>
    <x v="4"/>
    <x v="2"/>
    <x v="0"/>
    <d v="2025-01-06T00:00:00"/>
  </r>
  <r>
    <x v="5"/>
    <x v="5"/>
    <x v="5"/>
    <x v="4"/>
    <x v="0"/>
    <d v="2025-01-07T00:00:00"/>
  </r>
  <r>
    <x v="6"/>
    <x v="6"/>
    <x v="6"/>
    <x v="3"/>
    <x v="0"/>
    <d v="2025-01-08T00:00:00"/>
  </r>
  <r>
    <x v="7"/>
    <x v="5"/>
    <x v="7"/>
    <x v="2"/>
    <x v="0"/>
    <d v="2025-01-09T00:00:00"/>
  </r>
  <r>
    <x v="8"/>
    <x v="7"/>
    <x v="8"/>
    <x v="4"/>
    <x v="0"/>
    <d v="2025-01-10T00:00:00"/>
  </r>
  <r>
    <x v="9"/>
    <x v="8"/>
    <x v="9"/>
    <x v="5"/>
    <x v="0"/>
    <d v="2025-01-11T00:00:00"/>
  </r>
  <r>
    <x v="10"/>
    <x v="9"/>
    <x v="10"/>
    <x v="6"/>
    <x v="0"/>
    <d v="2025-01-1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rowHeaderCaption="Row Lables">
  <location ref="M3:P15" firstHeaderRow="0" firstDataRow="1" firstDataCol="1"/>
  <pivotFields count="6">
    <pivotField axis="axisRow" showAll="0">
      <items count="12">
        <item x="6"/>
        <item x="3"/>
        <item x="1"/>
        <item x="9"/>
        <item x="8"/>
        <item x="0"/>
        <item x="10"/>
        <item x="4"/>
        <item x="5"/>
        <item x="2"/>
        <item x="7"/>
        <item t="default"/>
      </items>
    </pivotField>
    <pivotField dataField="1" showAll="0"/>
    <pivotField dataField="1" showAll="0"/>
    <pivotField dataField="1" showAll="0"/>
    <pivotField showAll="0"/>
    <pivotField numFmtId="14" showAll="0"/>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name="Sum of Actual spent" fld="2" baseField="0" baseItem="0"/>
    <dataField name="Sum of Monthly budget" fld="1" baseField="0" baseItem="0"/>
    <dataField name="Sum of Reamining" fld="3" baseField="0" baseItem="0"/>
  </dataFields>
  <chartFormats count="6">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Row Lables">
  <location ref="I3:K15" firstHeaderRow="0" firstDataRow="1" firstDataCol="1"/>
  <pivotFields count="6">
    <pivotField axis="axisRow" showAll="0">
      <items count="12">
        <item x="6"/>
        <item x="3"/>
        <item x="1"/>
        <item x="9"/>
        <item x="8"/>
        <item x="0"/>
        <item x="10"/>
        <item x="4"/>
        <item x="5"/>
        <item x="2"/>
        <item x="7"/>
        <item t="default"/>
      </items>
    </pivotField>
    <pivotField dataField="1" showAll="0"/>
    <pivotField dataField="1" showAll="0"/>
    <pivotField showAll="0"/>
    <pivotField showAll="0"/>
    <pivotField numFmtId="14" showAl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Actual spent" fld="2" baseField="0" baseItem="0"/>
    <dataField name="Sum of Monthly budget" fld="1"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E3:G15" firstHeaderRow="0" firstDataRow="1" firstDataCol="1"/>
  <pivotFields count="6">
    <pivotField axis="axisRow" showAll="0">
      <items count="12">
        <item x="6"/>
        <item x="3"/>
        <item x="1"/>
        <item x="9"/>
        <item x="8"/>
        <item x="0"/>
        <item x="10"/>
        <item x="4"/>
        <item x="5"/>
        <item x="2"/>
        <item x="7"/>
        <item t="default"/>
      </items>
    </pivotField>
    <pivotField dataField="1" showAll="0"/>
    <pivotField showAll="0"/>
    <pivotField dataField="1" showAll="0"/>
    <pivotField showAll="0"/>
    <pivotField numFmtId="14" showAl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Reamining" fld="3" baseField="0" baseItem="0"/>
    <dataField name="Sum of Monthly budget" fld="1" baseField="0" baseItem="0"/>
  </dataFields>
  <chartFormats count="2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26" series="1">
      <pivotArea type="data" outline="0" fieldPosition="0">
        <references count="1">
          <reference field="4294967294" count="1" selected="0">
            <x v="0"/>
          </reference>
        </references>
      </pivotArea>
    </chartFormat>
    <chartFormat chart="9" format="27">
      <pivotArea type="data" outline="0" fieldPosition="0">
        <references count="2">
          <reference field="4294967294" count="1" selected="0">
            <x v="0"/>
          </reference>
          <reference field="0" count="1" selected="0">
            <x v="0"/>
          </reference>
        </references>
      </pivotArea>
    </chartFormat>
    <chartFormat chart="9" format="28">
      <pivotArea type="data" outline="0" fieldPosition="0">
        <references count="2">
          <reference field="4294967294" count="1" selected="0">
            <x v="0"/>
          </reference>
          <reference field="0" count="1" selected="0">
            <x v="1"/>
          </reference>
        </references>
      </pivotArea>
    </chartFormat>
    <chartFormat chart="9" format="29">
      <pivotArea type="data" outline="0" fieldPosition="0">
        <references count="2">
          <reference field="4294967294" count="1" selected="0">
            <x v="0"/>
          </reference>
          <reference field="0" count="1" selected="0">
            <x v="2"/>
          </reference>
        </references>
      </pivotArea>
    </chartFormat>
    <chartFormat chart="9" format="30">
      <pivotArea type="data" outline="0" fieldPosition="0">
        <references count="2">
          <reference field="4294967294" count="1" selected="0">
            <x v="0"/>
          </reference>
          <reference field="0" count="1" selected="0">
            <x v="3"/>
          </reference>
        </references>
      </pivotArea>
    </chartFormat>
    <chartFormat chart="9" format="31">
      <pivotArea type="data" outline="0" fieldPosition="0">
        <references count="2">
          <reference field="4294967294" count="1" selected="0">
            <x v="0"/>
          </reference>
          <reference field="0" count="1" selected="0">
            <x v="4"/>
          </reference>
        </references>
      </pivotArea>
    </chartFormat>
    <chartFormat chart="9" format="32">
      <pivotArea type="data" outline="0" fieldPosition="0">
        <references count="2">
          <reference field="4294967294" count="1" selected="0">
            <x v="0"/>
          </reference>
          <reference field="0" count="1" selected="0">
            <x v="5"/>
          </reference>
        </references>
      </pivotArea>
    </chartFormat>
    <chartFormat chart="9" format="33">
      <pivotArea type="data" outline="0" fieldPosition="0">
        <references count="2">
          <reference field="4294967294" count="1" selected="0">
            <x v="0"/>
          </reference>
          <reference field="0" count="1" selected="0">
            <x v="6"/>
          </reference>
        </references>
      </pivotArea>
    </chartFormat>
    <chartFormat chart="9" format="34">
      <pivotArea type="data" outline="0" fieldPosition="0">
        <references count="2">
          <reference field="4294967294" count="1" selected="0">
            <x v="0"/>
          </reference>
          <reference field="0" count="1" selected="0">
            <x v="7"/>
          </reference>
        </references>
      </pivotArea>
    </chartFormat>
    <chartFormat chart="9" format="35">
      <pivotArea type="data" outline="0" fieldPosition="0">
        <references count="2">
          <reference field="4294967294" count="1" selected="0">
            <x v="0"/>
          </reference>
          <reference field="0" count="1" selected="0">
            <x v="8"/>
          </reference>
        </references>
      </pivotArea>
    </chartFormat>
    <chartFormat chart="9" format="36">
      <pivotArea type="data" outline="0" fieldPosition="0">
        <references count="2">
          <reference field="4294967294" count="1" selected="0">
            <x v="0"/>
          </reference>
          <reference field="0" count="1" selected="0">
            <x v="9"/>
          </reference>
        </references>
      </pivotArea>
    </chartFormat>
    <chartFormat chart="9" format="37">
      <pivotArea type="data" outline="0" fieldPosition="0">
        <references count="2">
          <reference field="4294967294" count="1" selected="0">
            <x v="0"/>
          </reference>
          <reference field="0" count="1" selected="0">
            <x v="10"/>
          </reference>
        </references>
      </pivotArea>
    </chartFormat>
    <chartFormat chart="9" format="38" series="1">
      <pivotArea type="data" outline="0" fieldPosition="0">
        <references count="1">
          <reference field="4294967294" count="1" selected="0">
            <x v="1"/>
          </reference>
        </references>
      </pivotArea>
    </chartFormat>
    <chartFormat chart="9" format="39">
      <pivotArea type="data" outline="0" fieldPosition="0">
        <references count="2">
          <reference field="4294967294" count="1" selected="0">
            <x v="1"/>
          </reference>
          <reference field="0" count="1" selected="0">
            <x v="0"/>
          </reference>
        </references>
      </pivotArea>
    </chartFormat>
    <chartFormat chart="9" format="40">
      <pivotArea type="data" outline="0" fieldPosition="0">
        <references count="2">
          <reference field="4294967294" count="1" selected="0">
            <x v="1"/>
          </reference>
          <reference field="0" count="1" selected="0">
            <x v="1"/>
          </reference>
        </references>
      </pivotArea>
    </chartFormat>
    <chartFormat chart="9" format="41">
      <pivotArea type="data" outline="0" fieldPosition="0">
        <references count="2">
          <reference field="4294967294" count="1" selected="0">
            <x v="1"/>
          </reference>
          <reference field="0" count="1" selected="0">
            <x v="2"/>
          </reference>
        </references>
      </pivotArea>
    </chartFormat>
    <chartFormat chart="9" format="42">
      <pivotArea type="data" outline="0" fieldPosition="0">
        <references count="2">
          <reference field="4294967294" count="1" selected="0">
            <x v="1"/>
          </reference>
          <reference field="0" count="1" selected="0">
            <x v="3"/>
          </reference>
        </references>
      </pivotArea>
    </chartFormat>
    <chartFormat chart="9" format="43">
      <pivotArea type="data" outline="0" fieldPosition="0">
        <references count="2">
          <reference field="4294967294" count="1" selected="0">
            <x v="1"/>
          </reference>
          <reference field="0" count="1" selected="0">
            <x v="4"/>
          </reference>
        </references>
      </pivotArea>
    </chartFormat>
    <chartFormat chart="9" format="44">
      <pivotArea type="data" outline="0" fieldPosition="0">
        <references count="2">
          <reference field="4294967294" count="1" selected="0">
            <x v="1"/>
          </reference>
          <reference field="0" count="1" selected="0">
            <x v="5"/>
          </reference>
        </references>
      </pivotArea>
    </chartFormat>
    <chartFormat chart="9" format="45">
      <pivotArea type="data" outline="0" fieldPosition="0">
        <references count="2">
          <reference field="4294967294" count="1" selected="0">
            <x v="1"/>
          </reference>
          <reference field="0" count="1" selected="0">
            <x v="6"/>
          </reference>
        </references>
      </pivotArea>
    </chartFormat>
    <chartFormat chart="9" format="46">
      <pivotArea type="data" outline="0" fieldPosition="0">
        <references count="2">
          <reference field="4294967294" count="1" selected="0">
            <x v="1"/>
          </reference>
          <reference field="0" count="1" selected="0">
            <x v="7"/>
          </reference>
        </references>
      </pivotArea>
    </chartFormat>
    <chartFormat chart="9" format="47">
      <pivotArea type="data" outline="0" fieldPosition="0">
        <references count="2">
          <reference field="4294967294" count="1" selected="0">
            <x v="1"/>
          </reference>
          <reference field="0" count="1" selected="0">
            <x v="8"/>
          </reference>
        </references>
      </pivotArea>
    </chartFormat>
    <chartFormat chart="9" format="48">
      <pivotArea type="data" outline="0" fieldPosition="0">
        <references count="2">
          <reference field="4294967294" count="1" selected="0">
            <x v="1"/>
          </reference>
          <reference field="0" count="1" selected="0">
            <x v="9"/>
          </reference>
        </references>
      </pivotArea>
    </chartFormat>
    <chartFormat chart="9" format="49">
      <pivotArea type="data" outline="0" fieldPosition="0">
        <references count="2">
          <reference field="4294967294" count="1" selected="0">
            <x v="1"/>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3:C26" firstHeaderRow="0" firstDataRow="1" firstDataCol="1"/>
  <pivotFields count="6">
    <pivotField axis="axisRow" showAll="0">
      <items count="12">
        <item x="6"/>
        <item x="3"/>
        <item x="1"/>
        <item x="9"/>
        <item x="8"/>
        <item x="0"/>
        <item x="10"/>
        <item x="4"/>
        <item x="5"/>
        <item x="2"/>
        <item x="7"/>
        <item t="default"/>
      </items>
    </pivotField>
    <pivotField dataField="1" showAll="0">
      <items count="11">
        <item x="3"/>
        <item x="2"/>
        <item x="4"/>
        <item x="5"/>
        <item x="1"/>
        <item x="7"/>
        <item x="8"/>
        <item x="6"/>
        <item x="0"/>
        <item x="9"/>
        <item t="default"/>
      </items>
    </pivotField>
    <pivotField dataField="1" showAll="0">
      <items count="12">
        <item x="3"/>
        <item x="2"/>
        <item x="1"/>
        <item x="5"/>
        <item x="7"/>
        <item x="4"/>
        <item x="0"/>
        <item x="8"/>
        <item x="6"/>
        <item x="9"/>
        <item x="10"/>
        <item t="default"/>
      </items>
    </pivotField>
    <pivotField showAll="0">
      <items count="8">
        <item x="2"/>
        <item x="5"/>
        <item x="4"/>
        <item x="3"/>
        <item x="1"/>
        <item x="0"/>
        <item x="6"/>
        <item t="default"/>
      </items>
    </pivotField>
    <pivotField axis="axisRow" showAll="0">
      <items count="2">
        <item x="0"/>
        <item t="default"/>
      </items>
    </pivotField>
    <pivotField numFmtId="14" showAll="0"/>
  </pivotFields>
  <rowFields count="2">
    <field x="0"/>
    <field x="4"/>
  </rowFields>
  <rowItems count="23">
    <i>
      <x/>
    </i>
    <i r="1">
      <x/>
    </i>
    <i>
      <x v="1"/>
    </i>
    <i r="1">
      <x/>
    </i>
    <i>
      <x v="2"/>
    </i>
    <i r="1">
      <x/>
    </i>
    <i>
      <x v="3"/>
    </i>
    <i r="1">
      <x/>
    </i>
    <i>
      <x v="4"/>
    </i>
    <i r="1">
      <x/>
    </i>
    <i>
      <x v="5"/>
    </i>
    <i r="1">
      <x/>
    </i>
    <i>
      <x v="6"/>
    </i>
    <i r="1">
      <x/>
    </i>
    <i>
      <x v="7"/>
    </i>
    <i r="1">
      <x/>
    </i>
    <i>
      <x v="8"/>
    </i>
    <i r="1">
      <x/>
    </i>
    <i>
      <x v="9"/>
    </i>
    <i r="1">
      <x/>
    </i>
    <i>
      <x v="10"/>
    </i>
    <i r="1">
      <x/>
    </i>
    <i t="grand">
      <x/>
    </i>
  </rowItems>
  <colFields count="1">
    <field x="-2"/>
  </colFields>
  <colItems count="2">
    <i>
      <x/>
    </i>
    <i i="1">
      <x v="1"/>
    </i>
  </colItems>
  <dataFields count="2">
    <dataField name="Sum of Monthly budget" fld="1" baseField="0" baseItem="0"/>
    <dataField name="Sum of Actual spent" fld="2" baseField="0"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s>
  <data>
    <tabular pivotCacheId="1">
      <items count="11">
        <i x="6" s="1"/>
        <i x="3" s="1"/>
        <i x="1" s="1"/>
        <i x="9" s="1"/>
        <i x="8" s="1"/>
        <i x="0" s="1"/>
        <i x="10" s="1"/>
        <i x="4" s="1"/>
        <i x="5"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ly_budget" sourceName="Monthly budget">
  <pivotTables>
    <pivotTable tabId="3" name="PivotTable1"/>
  </pivotTables>
  <data>
    <tabular pivotCacheId="1">
      <items count="10">
        <i x="3" s="1"/>
        <i x="2" s="1"/>
        <i x="4" s="1"/>
        <i x="5" s="1"/>
        <i x="1" s="1"/>
        <i x="7" s="1"/>
        <i x="8" s="1"/>
        <i x="6" s="1"/>
        <i x="0"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ctual_spent" sourceName="Actual spent">
  <pivotTables>
    <pivotTable tabId="3" name="PivotTable1"/>
  </pivotTables>
  <data>
    <tabular pivotCacheId="1">
      <items count="11">
        <i x="3" s="1"/>
        <i x="2" s="1"/>
        <i x="1" s="1"/>
        <i x="5" s="1"/>
        <i x="7" s="1"/>
        <i x="4" s="1"/>
        <i x="0" s="1"/>
        <i x="8" s="1"/>
        <i x="6" s="1"/>
        <i x="9"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amining" sourceName="Reamining">
  <pivotTables>
    <pivotTable tabId="3" name="PivotTable1"/>
  </pivotTables>
  <data>
    <tabular pivotCacheId="1">
      <items count="7">
        <i x="2" s="1"/>
        <i x="5" s="1"/>
        <i x="4" s="1"/>
        <i x="3"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Monthly budget" cache="Slicer_Monthly_budget" caption="Monthly budget" rowHeight="241300"/>
  <slicer name="Actual spent" cache="Slicer_Actual_spent" caption="Actual spent" rowHeight="241300"/>
  <slicer name="Reamining" cache="Slicer_Reamining" caption="Reamining"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41300"/>
  <slicer name="Monthly budget 1" cache="Slicer_Monthly_budget" caption="Monthly budget" rowHeight="241300"/>
  <slicer name="Actual spent 1" cache="Slicer_Actual_spent" caption="Actual spent" rowHeight="241300"/>
  <slicer name="Reamining 1" cache="Slicer_Reamining" caption="Reamining"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election activeCell="D21" sqref="D21"/>
    </sheetView>
  </sheetViews>
  <sheetFormatPr defaultRowHeight="15" x14ac:dyDescent="0.25"/>
  <cols>
    <col min="1" max="1" width="10.42578125" bestFit="1" customWidth="1"/>
    <col min="2" max="2" width="13.7109375" customWidth="1"/>
    <col min="4" max="4" width="17.140625" customWidth="1"/>
  </cols>
  <sheetData>
    <row r="1" spans="1:7" x14ac:dyDescent="0.25">
      <c r="A1" t="s">
        <v>0</v>
      </c>
      <c r="B1" t="s">
        <v>31</v>
      </c>
      <c r="C1" t="s">
        <v>13</v>
      </c>
      <c r="D1" t="s">
        <v>15</v>
      </c>
      <c r="E1" t="s">
        <v>28</v>
      </c>
      <c r="G1" t="s">
        <v>29</v>
      </c>
    </row>
    <row r="2" spans="1:7" x14ac:dyDescent="0.25">
      <c r="A2" s="1">
        <v>45658</v>
      </c>
      <c r="B2" t="s">
        <v>1</v>
      </c>
      <c r="C2" t="s">
        <v>6</v>
      </c>
      <c r="D2" t="s">
        <v>16</v>
      </c>
      <c r="E2">
        <v>4500</v>
      </c>
      <c r="G2" t="str">
        <f>TEXT(A2,"mmmm")</f>
        <v>January</v>
      </c>
    </row>
    <row r="3" spans="1:7" x14ac:dyDescent="0.25">
      <c r="A3" s="1">
        <v>45659</v>
      </c>
      <c r="B3" t="s">
        <v>2</v>
      </c>
      <c r="C3" t="s">
        <v>6</v>
      </c>
      <c r="D3" t="s">
        <v>17</v>
      </c>
      <c r="E3">
        <v>1500</v>
      </c>
      <c r="G3" t="str">
        <f t="shared" ref="G3:G13" si="0">TEXT(A3,"mmmm")</f>
        <v>January</v>
      </c>
    </row>
    <row r="4" spans="1:7" x14ac:dyDescent="0.25">
      <c r="A4" s="1">
        <v>45660</v>
      </c>
      <c r="B4" t="s">
        <v>3</v>
      </c>
      <c r="C4" t="s">
        <v>6</v>
      </c>
      <c r="D4" t="s">
        <v>18</v>
      </c>
      <c r="E4">
        <v>500</v>
      </c>
      <c r="G4" t="str">
        <f t="shared" si="0"/>
        <v>January</v>
      </c>
    </row>
    <row r="5" spans="1:7" x14ac:dyDescent="0.25">
      <c r="A5" s="1">
        <v>45661</v>
      </c>
      <c r="B5" t="s">
        <v>4</v>
      </c>
      <c r="C5" t="s">
        <v>6</v>
      </c>
      <c r="D5" t="s">
        <v>19</v>
      </c>
      <c r="E5">
        <v>500</v>
      </c>
      <c r="G5" t="str">
        <f t="shared" si="0"/>
        <v>January</v>
      </c>
    </row>
    <row r="6" spans="1:7" x14ac:dyDescent="0.25">
      <c r="A6" s="1">
        <v>45662</v>
      </c>
      <c r="B6" t="s">
        <v>5</v>
      </c>
      <c r="C6" t="s">
        <v>5</v>
      </c>
      <c r="D6" t="s">
        <v>20</v>
      </c>
      <c r="E6">
        <v>1000</v>
      </c>
      <c r="G6" t="str">
        <f t="shared" si="0"/>
        <v>January</v>
      </c>
    </row>
    <row r="7" spans="1:7" x14ac:dyDescent="0.25">
      <c r="A7" s="1">
        <v>45663</v>
      </c>
      <c r="B7" t="s">
        <v>5</v>
      </c>
      <c r="C7" t="s">
        <v>5</v>
      </c>
      <c r="D7" t="s">
        <v>21</v>
      </c>
      <c r="E7">
        <v>1000</v>
      </c>
      <c r="G7" t="str">
        <f t="shared" si="0"/>
        <v>January</v>
      </c>
    </row>
    <row r="8" spans="1:7" x14ac:dyDescent="0.25">
      <c r="A8" s="1">
        <v>45664</v>
      </c>
      <c r="B8" t="s">
        <v>7</v>
      </c>
      <c r="C8" t="s">
        <v>6</v>
      </c>
      <c r="D8" t="s">
        <v>22</v>
      </c>
      <c r="E8">
        <v>2000</v>
      </c>
      <c r="G8" t="str">
        <f t="shared" si="0"/>
        <v>January</v>
      </c>
    </row>
    <row r="9" spans="1:7" x14ac:dyDescent="0.25">
      <c r="A9" s="1">
        <v>45665</v>
      </c>
      <c r="B9" t="s">
        <v>8</v>
      </c>
      <c r="C9" t="s">
        <v>6</v>
      </c>
      <c r="D9" t="s">
        <v>23</v>
      </c>
      <c r="E9">
        <v>1500</v>
      </c>
      <c r="G9" t="str">
        <f t="shared" si="0"/>
        <v>January</v>
      </c>
    </row>
    <row r="10" spans="1:7" x14ac:dyDescent="0.25">
      <c r="A10" s="1">
        <v>45666</v>
      </c>
      <c r="B10" t="s">
        <v>9</v>
      </c>
      <c r="C10" t="s">
        <v>6</v>
      </c>
      <c r="D10" t="s">
        <v>24</v>
      </c>
      <c r="E10">
        <v>700</v>
      </c>
      <c r="G10" t="str">
        <f t="shared" si="0"/>
        <v>January</v>
      </c>
    </row>
    <row r="11" spans="1:7" x14ac:dyDescent="0.25">
      <c r="A11" s="1">
        <v>45667</v>
      </c>
      <c r="B11" t="s">
        <v>32</v>
      </c>
      <c r="C11" t="s">
        <v>6</v>
      </c>
      <c r="D11" t="s">
        <v>25</v>
      </c>
      <c r="E11">
        <v>900</v>
      </c>
      <c r="G11" t="str">
        <f t="shared" si="0"/>
        <v>January</v>
      </c>
    </row>
    <row r="12" spans="1:7" x14ac:dyDescent="0.25">
      <c r="A12" s="1">
        <v>45668</v>
      </c>
      <c r="B12" t="s">
        <v>11</v>
      </c>
      <c r="C12" t="s">
        <v>14</v>
      </c>
      <c r="D12" t="s">
        <v>26</v>
      </c>
      <c r="E12">
        <v>6000</v>
      </c>
      <c r="G12" t="str">
        <f t="shared" si="0"/>
        <v>January</v>
      </c>
    </row>
    <row r="13" spans="1:7" x14ac:dyDescent="0.25">
      <c r="A13" s="1">
        <v>45669</v>
      </c>
      <c r="B13" t="s">
        <v>12</v>
      </c>
      <c r="C13" t="s">
        <v>14</v>
      </c>
      <c r="D13" t="s">
        <v>27</v>
      </c>
      <c r="E13">
        <v>40000</v>
      </c>
      <c r="G13" t="str">
        <f t="shared" si="0"/>
        <v>January</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26"/>
  <sheetViews>
    <sheetView topLeftCell="D16" workbookViewId="0">
      <selection activeCell="G32" sqref="G32:N46"/>
    </sheetView>
  </sheetViews>
  <sheetFormatPr defaultRowHeight="15" x14ac:dyDescent="0.25"/>
  <cols>
    <col min="1" max="1" width="15.85546875" bestFit="1" customWidth="1"/>
    <col min="2" max="2" width="22.28515625" bestFit="1" customWidth="1"/>
    <col min="3" max="3" width="18.85546875" bestFit="1" customWidth="1"/>
    <col min="5" max="5" width="14" bestFit="1" customWidth="1"/>
    <col min="6" max="6" width="17.28515625" bestFit="1" customWidth="1"/>
    <col min="7" max="7" width="22.28515625" bestFit="1" customWidth="1"/>
    <col min="9" max="9" width="14" bestFit="1" customWidth="1"/>
    <col min="10" max="10" width="18.85546875" bestFit="1" customWidth="1"/>
    <col min="11" max="11" width="22.28515625" bestFit="1" customWidth="1"/>
    <col min="13" max="13" width="14" bestFit="1" customWidth="1"/>
    <col min="14" max="14" width="18.85546875" bestFit="1" customWidth="1"/>
    <col min="15" max="15" width="22.28515625" bestFit="1" customWidth="1"/>
    <col min="16" max="16" width="17.28515625" bestFit="1" customWidth="1"/>
  </cols>
  <sheetData>
    <row r="3" spans="1:16" x14ac:dyDescent="0.25">
      <c r="A3" s="2" t="s">
        <v>36</v>
      </c>
      <c r="B3" t="s">
        <v>38</v>
      </c>
      <c r="C3" t="s">
        <v>39</v>
      </c>
      <c r="E3" s="2" t="s">
        <v>36</v>
      </c>
      <c r="F3" t="s">
        <v>40</v>
      </c>
      <c r="G3" t="s">
        <v>38</v>
      </c>
      <c r="I3" s="2" t="s">
        <v>41</v>
      </c>
      <c r="J3" t="s">
        <v>39</v>
      </c>
      <c r="K3" t="s">
        <v>38</v>
      </c>
      <c r="M3" s="2" t="s">
        <v>41</v>
      </c>
      <c r="N3" t="s">
        <v>39</v>
      </c>
      <c r="O3" t="s">
        <v>38</v>
      </c>
      <c r="P3" t="s">
        <v>40</v>
      </c>
    </row>
    <row r="4" spans="1:16" x14ac:dyDescent="0.25">
      <c r="A4" s="3" t="s">
        <v>8</v>
      </c>
      <c r="B4" s="5">
        <v>900</v>
      </c>
      <c r="C4" s="5">
        <v>700</v>
      </c>
      <c r="E4" s="3" t="s">
        <v>8</v>
      </c>
      <c r="F4" s="5">
        <v>200</v>
      </c>
      <c r="G4" s="5">
        <v>900</v>
      </c>
      <c r="I4" s="3" t="s">
        <v>8</v>
      </c>
      <c r="J4" s="5">
        <v>700</v>
      </c>
      <c r="K4" s="5">
        <v>900</v>
      </c>
      <c r="M4" s="3" t="s">
        <v>8</v>
      </c>
      <c r="N4" s="5">
        <v>700</v>
      </c>
      <c r="O4" s="5">
        <v>900</v>
      </c>
      <c r="P4" s="5">
        <v>200</v>
      </c>
    </row>
    <row r="5" spans="1:16" x14ac:dyDescent="0.25">
      <c r="A5" s="4" t="s">
        <v>30</v>
      </c>
      <c r="B5" s="5">
        <v>900</v>
      </c>
      <c r="C5" s="5">
        <v>700</v>
      </c>
      <c r="E5" s="3" t="s">
        <v>4</v>
      </c>
      <c r="F5" s="5">
        <v>50</v>
      </c>
      <c r="G5" s="5">
        <v>150</v>
      </c>
      <c r="I5" s="3" t="s">
        <v>4</v>
      </c>
      <c r="J5" s="5">
        <v>100</v>
      </c>
      <c r="K5" s="5">
        <v>150</v>
      </c>
      <c r="M5" s="3" t="s">
        <v>4</v>
      </c>
      <c r="N5" s="5">
        <v>100</v>
      </c>
      <c r="O5" s="5">
        <v>150</v>
      </c>
      <c r="P5" s="5">
        <v>50</v>
      </c>
    </row>
    <row r="6" spans="1:16" x14ac:dyDescent="0.25">
      <c r="A6" s="3" t="s">
        <v>4</v>
      </c>
      <c r="B6" s="5">
        <v>150</v>
      </c>
      <c r="C6" s="5">
        <v>100</v>
      </c>
      <c r="E6" s="3" t="s">
        <v>2</v>
      </c>
      <c r="F6" s="5">
        <v>250</v>
      </c>
      <c r="G6" s="5">
        <v>500</v>
      </c>
      <c r="I6" s="3" t="s">
        <v>2</v>
      </c>
      <c r="J6" s="5">
        <v>250</v>
      </c>
      <c r="K6" s="5">
        <v>500</v>
      </c>
      <c r="M6" s="3" t="s">
        <v>2</v>
      </c>
      <c r="N6" s="5">
        <v>250</v>
      </c>
      <c r="O6" s="5">
        <v>500</v>
      </c>
      <c r="P6" s="5">
        <v>250</v>
      </c>
    </row>
    <row r="7" spans="1:16" x14ac:dyDescent="0.25">
      <c r="A7" s="4" t="s">
        <v>30</v>
      </c>
      <c r="B7" s="5">
        <v>150</v>
      </c>
      <c r="C7" s="5">
        <v>100</v>
      </c>
      <c r="E7" s="3" t="s">
        <v>11</v>
      </c>
      <c r="F7" s="5">
        <v>70</v>
      </c>
      <c r="G7" s="5">
        <v>800</v>
      </c>
      <c r="I7" s="3" t="s">
        <v>11</v>
      </c>
      <c r="J7" s="5">
        <v>730</v>
      </c>
      <c r="K7" s="5">
        <v>800</v>
      </c>
      <c r="M7" s="3" t="s">
        <v>11</v>
      </c>
      <c r="N7" s="5">
        <v>730</v>
      </c>
      <c r="O7" s="5">
        <v>800</v>
      </c>
      <c r="P7" s="5">
        <v>70</v>
      </c>
    </row>
    <row r="8" spans="1:16" x14ac:dyDescent="0.25">
      <c r="A8" s="3" t="s">
        <v>2</v>
      </c>
      <c r="B8" s="5">
        <v>500</v>
      </c>
      <c r="C8" s="5">
        <v>250</v>
      </c>
      <c r="E8" s="3" t="s">
        <v>10</v>
      </c>
      <c r="F8" s="5">
        <v>100</v>
      </c>
      <c r="G8" s="5">
        <v>650</v>
      </c>
      <c r="I8" s="3" t="s">
        <v>10</v>
      </c>
      <c r="J8" s="5">
        <v>550</v>
      </c>
      <c r="K8" s="5">
        <v>650</v>
      </c>
      <c r="M8" s="3" t="s">
        <v>10</v>
      </c>
      <c r="N8" s="5">
        <v>550</v>
      </c>
      <c r="O8" s="5">
        <v>650</v>
      </c>
      <c r="P8" s="5">
        <v>100</v>
      </c>
    </row>
    <row r="9" spans="1:16" x14ac:dyDescent="0.25">
      <c r="A9" s="4" t="s">
        <v>30</v>
      </c>
      <c r="B9" s="5">
        <v>500</v>
      </c>
      <c r="C9" s="5">
        <v>250</v>
      </c>
      <c r="E9" s="3" t="s">
        <v>1</v>
      </c>
      <c r="F9" s="5">
        <v>500</v>
      </c>
      <c r="G9" s="5">
        <v>1000</v>
      </c>
      <c r="I9" s="3" t="s">
        <v>1</v>
      </c>
      <c r="J9" s="5">
        <v>500</v>
      </c>
      <c r="K9" s="5">
        <v>1000</v>
      </c>
      <c r="M9" s="3" t="s">
        <v>1</v>
      </c>
      <c r="N9" s="5">
        <v>500</v>
      </c>
      <c r="O9" s="5">
        <v>1000</v>
      </c>
      <c r="P9" s="5">
        <v>500</v>
      </c>
    </row>
    <row r="10" spans="1:16" x14ac:dyDescent="0.25">
      <c r="A10" s="3" t="s">
        <v>11</v>
      </c>
      <c r="B10" s="5">
        <v>800</v>
      </c>
      <c r="C10" s="5">
        <v>730</v>
      </c>
      <c r="E10" s="3" t="s">
        <v>12</v>
      </c>
      <c r="F10" s="5">
        <v>5000</v>
      </c>
      <c r="G10" s="5">
        <v>30000</v>
      </c>
      <c r="I10" s="3" t="s">
        <v>12</v>
      </c>
      <c r="J10" s="5">
        <v>25000</v>
      </c>
      <c r="K10" s="5">
        <v>30000</v>
      </c>
      <c r="M10" s="3" t="s">
        <v>12</v>
      </c>
      <c r="N10" s="5">
        <v>25000</v>
      </c>
      <c r="O10" s="5">
        <v>30000</v>
      </c>
      <c r="P10" s="5">
        <v>5000</v>
      </c>
    </row>
    <row r="11" spans="1:16" x14ac:dyDescent="0.25">
      <c r="A11" s="4" t="s">
        <v>30</v>
      </c>
      <c r="B11" s="5">
        <v>800</v>
      </c>
      <c r="C11" s="5">
        <v>730</v>
      </c>
      <c r="E11" s="3" t="s">
        <v>5</v>
      </c>
      <c r="F11" s="5">
        <v>250</v>
      </c>
      <c r="G11" s="5">
        <v>800</v>
      </c>
      <c r="I11" s="3" t="s">
        <v>5</v>
      </c>
      <c r="J11" s="5">
        <v>550</v>
      </c>
      <c r="K11" s="5">
        <v>800</v>
      </c>
      <c r="M11" s="3" t="s">
        <v>5</v>
      </c>
      <c r="N11" s="5">
        <v>550</v>
      </c>
      <c r="O11" s="5">
        <v>800</v>
      </c>
      <c r="P11" s="5">
        <v>250</v>
      </c>
    </row>
    <row r="12" spans="1:16" x14ac:dyDescent="0.25">
      <c r="A12" s="3" t="s">
        <v>10</v>
      </c>
      <c r="B12" s="5">
        <v>650</v>
      </c>
      <c r="C12" s="5">
        <v>550</v>
      </c>
      <c r="E12" s="3" t="s">
        <v>7</v>
      </c>
      <c r="F12" s="5">
        <v>100</v>
      </c>
      <c r="G12" s="5">
        <v>400</v>
      </c>
      <c r="I12" s="3" t="s">
        <v>7</v>
      </c>
      <c r="J12" s="5">
        <v>300</v>
      </c>
      <c r="K12" s="5">
        <v>400</v>
      </c>
      <c r="M12" s="3" t="s">
        <v>7</v>
      </c>
      <c r="N12" s="5">
        <v>300</v>
      </c>
      <c r="O12" s="5">
        <v>400</v>
      </c>
      <c r="P12" s="5">
        <v>100</v>
      </c>
    </row>
    <row r="13" spans="1:16" x14ac:dyDescent="0.25">
      <c r="A13" s="4" t="s">
        <v>30</v>
      </c>
      <c r="B13" s="5">
        <v>650</v>
      </c>
      <c r="C13" s="5">
        <v>550</v>
      </c>
      <c r="E13" s="3" t="s">
        <v>3</v>
      </c>
      <c r="F13" s="5">
        <v>50</v>
      </c>
      <c r="G13" s="5">
        <v>200</v>
      </c>
      <c r="I13" s="3" t="s">
        <v>3</v>
      </c>
      <c r="J13" s="5">
        <v>150</v>
      </c>
      <c r="K13" s="5">
        <v>200</v>
      </c>
      <c r="M13" s="3" t="s">
        <v>3</v>
      </c>
      <c r="N13" s="5">
        <v>150</v>
      </c>
      <c r="O13" s="5">
        <v>200</v>
      </c>
      <c r="P13" s="5">
        <v>50</v>
      </c>
    </row>
    <row r="14" spans="1:16" x14ac:dyDescent="0.25">
      <c r="A14" s="3" t="s">
        <v>1</v>
      </c>
      <c r="B14" s="5">
        <v>1000</v>
      </c>
      <c r="C14" s="5">
        <v>500</v>
      </c>
      <c r="E14" s="3" t="s">
        <v>9</v>
      </c>
      <c r="F14" s="5">
        <v>50</v>
      </c>
      <c r="G14" s="5">
        <v>400</v>
      </c>
      <c r="I14" s="3" t="s">
        <v>9</v>
      </c>
      <c r="J14" s="5">
        <v>350</v>
      </c>
      <c r="K14" s="5">
        <v>400</v>
      </c>
      <c r="M14" s="3" t="s">
        <v>9</v>
      </c>
      <c r="N14" s="5">
        <v>350</v>
      </c>
      <c r="O14" s="5">
        <v>400</v>
      </c>
      <c r="P14" s="5">
        <v>50</v>
      </c>
    </row>
    <row r="15" spans="1:16" x14ac:dyDescent="0.25">
      <c r="A15" s="4" t="s">
        <v>30</v>
      </c>
      <c r="B15" s="5">
        <v>1000</v>
      </c>
      <c r="C15" s="5">
        <v>500</v>
      </c>
      <c r="E15" s="3" t="s">
        <v>37</v>
      </c>
      <c r="F15" s="5">
        <v>6620</v>
      </c>
      <c r="G15" s="5">
        <v>35800</v>
      </c>
      <c r="I15" s="3" t="s">
        <v>37</v>
      </c>
      <c r="J15" s="5">
        <v>29180</v>
      </c>
      <c r="K15" s="5">
        <v>35800</v>
      </c>
      <c r="M15" s="3" t="s">
        <v>37</v>
      </c>
      <c r="N15" s="5">
        <v>29180</v>
      </c>
      <c r="O15" s="5">
        <v>35800</v>
      </c>
      <c r="P15" s="5">
        <v>6620</v>
      </c>
    </row>
    <row r="16" spans="1:16" x14ac:dyDescent="0.25">
      <c r="A16" s="3" t="s">
        <v>12</v>
      </c>
      <c r="B16" s="5">
        <v>30000</v>
      </c>
      <c r="C16" s="5">
        <v>25000</v>
      </c>
    </row>
    <row r="17" spans="1:3" x14ac:dyDescent="0.25">
      <c r="A17" s="4" t="s">
        <v>30</v>
      </c>
      <c r="B17" s="5">
        <v>30000</v>
      </c>
      <c r="C17" s="5">
        <v>25000</v>
      </c>
    </row>
    <row r="18" spans="1:3" x14ac:dyDescent="0.25">
      <c r="A18" s="3" t="s">
        <v>5</v>
      </c>
      <c r="B18" s="5">
        <v>800</v>
      </c>
      <c r="C18" s="5">
        <v>550</v>
      </c>
    </row>
    <row r="19" spans="1:3" x14ac:dyDescent="0.25">
      <c r="A19" s="4" t="s">
        <v>30</v>
      </c>
      <c r="B19" s="5">
        <v>800</v>
      </c>
      <c r="C19" s="5">
        <v>550</v>
      </c>
    </row>
    <row r="20" spans="1:3" x14ac:dyDescent="0.25">
      <c r="A20" s="3" t="s">
        <v>7</v>
      </c>
      <c r="B20" s="5">
        <v>400</v>
      </c>
      <c r="C20" s="5">
        <v>300</v>
      </c>
    </row>
    <row r="21" spans="1:3" x14ac:dyDescent="0.25">
      <c r="A21" s="4" t="s">
        <v>30</v>
      </c>
      <c r="B21" s="5">
        <v>400</v>
      </c>
      <c r="C21" s="5">
        <v>300</v>
      </c>
    </row>
    <row r="22" spans="1:3" x14ac:dyDescent="0.25">
      <c r="A22" s="3" t="s">
        <v>3</v>
      </c>
      <c r="B22" s="5">
        <v>200</v>
      </c>
      <c r="C22" s="5">
        <v>150</v>
      </c>
    </row>
    <row r="23" spans="1:3" x14ac:dyDescent="0.25">
      <c r="A23" s="4" t="s">
        <v>30</v>
      </c>
      <c r="B23" s="5">
        <v>200</v>
      </c>
      <c r="C23" s="5">
        <v>150</v>
      </c>
    </row>
    <row r="24" spans="1:3" x14ac:dyDescent="0.25">
      <c r="A24" s="3" t="s">
        <v>9</v>
      </c>
      <c r="B24" s="5">
        <v>400</v>
      </c>
      <c r="C24" s="5">
        <v>350</v>
      </c>
    </row>
    <row r="25" spans="1:3" x14ac:dyDescent="0.25">
      <c r="A25" s="4" t="s">
        <v>30</v>
      </c>
      <c r="B25" s="5">
        <v>400</v>
      </c>
      <c r="C25" s="5">
        <v>350</v>
      </c>
    </row>
    <row r="26" spans="1:3" x14ac:dyDescent="0.25">
      <c r="A26" s="3" t="s">
        <v>37</v>
      </c>
      <c r="B26" s="5">
        <v>35800</v>
      </c>
      <c r="C26" s="5">
        <v>29180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O8" sqref="O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sqref="A1:F13"/>
    </sheetView>
  </sheetViews>
  <sheetFormatPr defaultRowHeight="15" x14ac:dyDescent="0.25"/>
  <cols>
    <col min="1" max="1" width="13.7109375" customWidth="1"/>
    <col min="2" max="2" width="15.28515625" customWidth="1"/>
    <col min="3" max="3" width="13.28515625" customWidth="1"/>
    <col min="4" max="4" width="10.140625" customWidth="1"/>
    <col min="6" max="6" width="10.42578125" bestFit="1" customWidth="1"/>
  </cols>
  <sheetData>
    <row r="1" spans="1:6" x14ac:dyDescent="0.25">
      <c r="A1" t="s">
        <v>31</v>
      </c>
      <c r="B1" t="s">
        <v>33</v>
      </c>
      <c r="C1" t="s">
        <v>35</v>
      </c>
      <c r="D1" t="s">
        <v>34</v>
      </c>
      <c r="E1" t="s">
        <v>29</v>
      </c>
      <c r="F1" t="s">
        <v>0</v>
      </c>
    </row>
    <row r="2" spans="1:6" x14ac:dyDescent="0.25">
      <c r="A2" t="s">
        <v>1</v>
      </c>
      <c r="B2">
        <v>1000</v>
      </c>
      <c r="C2">
        <v>500</v>
      </c>
      <c r="D2">
        <f>B2-C2</f>
        <v>500</v>
      </c>
      <c r="E2" t="str">
        <f>TEXT(F2,"mmmm")</f>
        <v>January</v>
      </c>
      <c r="F2" s="1">
        <v>45658</v>
      </c>
    </row>
    <row r="3" spans="1:6" x14ac:dyDescent="0.25">
      <c r="A3" t="s">
        <v>2</v>
      </c>
      <c r="B3">
        <v>500</v>
      </c>
      <c r="C3">
        <v>250</v>
      </c>
      <c r="D3">
        <f t="shared" ref="D3:D13" si="0">B3-C3</f>
        <v>250</v>
      </c>
      <c r="E3" t="str">
        <f t="shared" ref="E3:E13" si="1">TEXT(F3,"mmmm")</f>
        <v>January</v>
      </c>
      <c r="F3" s="1">
        <v>45659</v>
      </c>
    </row>
    <row r="4" spans="1:6" x14ac:dyDescent="0.25">
      <c r="A4" t="s">
        <v>3</v>
      </c>
      <c r="B4">
        <v>200</v>
      </c>
      <c r="C4">
        <v>150</v>
      </c>
      <c r="D4">
        <f t="shared" si="0"/>
        <v>50</v>
      </c>
      <c r="E4" t="str">
        <f t="shared" si="1"/>
        <v>January</v>
      </c>
      <c r="F4" s="1">
        <v>45660</v>
      </c>
    </row>
    <row r="5" spans="1:6" x14ac:dyDescent="0.25">
      <c r="A5" t="s">
        <v>4</v>
      </c>
      <c r="B5">
        <v>150</v>
      </c>
      <c r="C5">
        <v>100</v>
      </c>
      <c r="D5">
        <f t="shared" si="0"/>
        <v>50</v>
      </c>
      <c r="E5" t="str">
        <f t="shared" si="1"/>
        <v>January</v>
      </c>
      <c r="F5" s="1">
        <v>45661</v>
      </c>
    </row>
    <row r="6" spans="1:6" x14ac:dyDescent="0.25">
      <c r="A6" t="s">
        <v>5</v>
      </c>
      <c r="B6">
        <v>300</v>
      </c>
      <c r="C6">
        <v>100</v>
      </c>
      <c r="D6">
        <f t="shared" si="0"/>
        <v>200</v>
      </c>
      <c r="E6" t="str">
        <f t="shared" si="1"/>
        <v>January</v>
      </c>
      <c r="F6" s="1">
        <v>45662</v>
      </c>
    </row>
    <row r="7" spans="1:6" x14ac:dyDescent="0.25">
      <c r="A7" t="s">
        <v>5</v>
      </c>
      <c r="B7">
        <v>500</v>
      </c>
      <c r="C7">
        <v>450</v>
      </c>
      <c r="D7">
        <f t="shared" si="0"/>
        <v>50</v>
      </c>
      <c r="E7" t="str">
        <f t="shared" si="1"/>
        <v>January</v>
      </c>
      <c r="F7" s="1">
        <v>45663</v>
      </c>
    </row>
    <row r="8" spans="1:6" x14ac:dyDescent="0.25">
      <c r="A8" t="s">
        <v>7</v>
      </c>
      <c r="B8">
        <v>400</v>
      </c>
      <c r="C8">
        <v>300</v>
      </c>
      <c r="D8">
        <f t="shared" si="0"/>
        <v>100</v>
      </c>
      <c r="E8" t="str">
        <f t="shared" si="1"/>
        <v>January</v>
      </c>
      <c r="F8" s="1">
        <v>45664</v>
      </c>
    </row>
    <row r="9" spans="1:6" x14ac:dyDescent="0.25">
      <c r="A9" t="s">
        <v>8</v>
      </c>
      <c r="B9">
        <v>900</v>
      </c>
      <c r="C9">
        <v>700</v>
      </c>
      <c r="D9">
        <f t="shared" si="0"/>
        <v>200</v>
      </c>
      <c r="E9" t="str">
        <f t="shared" si="1"/>
        <v>January</v>
      </c>
      <c r="F9" s="1">
        <v>45665</v>
      </c>
    </row>
    <row r="10" spans="1:6" x14ac:dyDescent="0.25">
      <c r="A10" t="s">
        <v>9</v>
      </c>
      <c r="B10">
        <v>400</v>
      </c>
      <c r="C10">
        <v>350</v>
      </c>
      <c r="D10">
        <f t="shared" si="0"/>
        <v>50</v>
      </c>
      <c r="E10" t="str">
        <f t="shared" si="1"/>
        <v>January</v>
      </c>
      <c r="F10" s="1">
        <v>45666</v>
      </c>
    </row>
    <row r="11" spans="1:6" x14ac:dyDescent="0.25">
      <c r="A11" t="s">
        <v>10</v>
      </c>
      <c r="B11">
        <v>650</v>
      </c>
      <c r="C11">
        <v>550</v>
      </c>
      <c r="D11">
        <f t="shared" si="0"/>
        <v>100</v>
      </c>
      <c r="E11" t="str">
        <f t="shared" si="1"/>
        <v>January</v>
      </c>
      <c r="F11" s="1">
        <v>45667</v>
      </c>
    </row>
    <row r="12" spans="1:6" x14ac:dyDescent="0.25">
      <c r="A12" t="s">
        <v>11</v>
      </c>
      <c r="B12">
        <v>800</v>
      </c>
      <c r="C12">
        <v>730</v>
      </c>
      <c r="D12">
        <f t="shared" si="0"/>
        <v>70</v>
      </c>
      <c r="E12" t="str">
        <f t="shared" si="1"/>
        <v>January</v>
      </c>
      <c r="F12" s="1">
        <v>45668</v>
      </c>
    </row>
    <row r="13" spans="1:6" x14ac:dyDescent="0.25">
      <c r="A13" t="s">
        <v>12</v>
      </c>
      <c r="B13">
        <v>30000</v>
      </c>
      <c r="C13">
        <v>25000</v>
      </c>
      <c r="D13">
        <f t="shared" si="0"/>
        <v>5000</v>
      </c>
      <c r="E13" t="str">
        <f t="shared" si="1"/>
        <v>January</v>
      </c>
      <c r="F13" s="1">
        <v>45669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Transaction</vt:lpstr>
      <vt:lpstr>Sheet3</vt:lpstr>
      <vt:lpstr>Sheet6</vt:lpstr>
      <vt:lpstr>Budget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2026-01-21T05:54:16Z</dcterms:created>
  <dcterms:modified xsi:type="dcterms:W3CDTF">2026-01-21T07:15:49Z</dcterms:modified>
</cp:coreProperties>
</file>